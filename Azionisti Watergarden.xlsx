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oardo\Desktop\"/>
    </mc:Choice>
  </mc:AlternateContent>
  <xr:revisionPtr revIDLastSave="0" documentId="8_{EC7C8CE7-60AB-4E3F-B9D2-7B9CB2BDBDDD}" xr6:coauthVersionLast="47" xr6:coauthVersionMax="47" xr10:uidLastSave="{00000000-0000-0000-0000-000000000000}"/>
  <bookViews>
    <workbookView xWindow="-120" yWindow="-120" windowWidth="29040" windowHeight="15720" xr2:uid="{AC3457E5-5C35-4527-8E46-4DDE17AAA294}"/>
  </bookViews>
  <sheets>
    <sheet name="Registre" sheetId="1" r:id="rId1"/>
  </sheets>
  <externalReferences>
    <externalReference r:id="rId2"/>
  </externalReferences>
  <definedNames>
    <definedName name="aaa" localSheetId="0">#REF!</definedName>
    <definedName name="aaa">#REF!</definedName>
    <definedName name="Anniversaire" localSheetId="0">#REF!,#REF!,#REF!,#REF!</definedName>
    <definedName name="Anniversaire">#REF!,#REF!,#REF!,#REF!</definedName>
    <definedName name="_xlnm.Print_Area" localSheetId="0">Registre!$A$1:$K$39</definedName>
    <definedName name="CAP1E" localSheetId="0">#REF!</definedName>
    <definedName name="CAP1E">#REF!</definedName>
    <definedName name="CapitFIXE" localSheetId="0">#REF!</definedName>
    <definedName name="CapitFIXE">#REF!</definedName>
    <definedName name="Changement_de_taux" localSheetId="0">#REF!</definedName>
    <definedName name="Changement_de_taux">#REF!</definedName>
    <definedName name="Cout_Total" localSheetId="0">#REF!</definedName>
    <definedName name="Cout_Total">#REF!</definedName>
    <definedName name="DATDB" localSheetId="0">#REF!</definedName>
    <definedName name="DATDB">#REF!</definedName>
    <definedName name="DebAmort" localSheetId="0">#REF!</definedName>
    <definedName name="DebAmort">#REF!</definedName>
    <definedName name="Différé" localSheetId="0">#REF!</definedName>
    <definedName name="Différé">#REF!</definedName>
    <definedName name="DiffSimple" localSheetId="0">#REF!</definedName>
    <definedName name="DiffSimple">#REF!</definedName>
    <definedName name="DiffTotal" localSheetId="0">#REF!</definedName>
    <definedName name="DiffTotal">#REF!</definedName>
    <definedName name="EchFIXE" localSheetId="0">#REF!</definedName>
    <definedName name="EchFIXE">#REF!</definedName>
    <definedName name="FraisF" localSheetId="0">#REF!</definedName>
    <definedName name="FraisF">#REF!</definedName>
    <definedName name="FraisV" localSheetId="0">#REF!</definedName>
    <definedName name="FraisV">#REF!</definedName>
    <definedName name="Ijour" localSheetId="0">#REF!</definedName>
    <definedName name="Ijour">#REF!</definedName>
    <definedName name="Imois" localSheetId="0">#REF!</definedName>
    <definedName name="Imois">#REF!</definedName>
    <definedName name="INT1E" localSheetId="0">#REF!</definedName>
    <definedName name="INT1E">#REF!</definedName>
    <definedName name="Jour1" localSheetId="0">#REF!</definedName>
    <definedName name="Jour1">#REF!</definedName>
    <definedName name="Jour2" localSheetId="0">#REF!</definedName>
    <definedName name="Jour2">#REF!</definedName>
    <definedName name="MoisD" localSheetId="0">#REF!</definedName>
    <definedName name="MoisD">#REF!</definedName>
    <definedName name="MtEch" localSheetId="0">#REF!</definedName>
    <definedName name="MtEch">#REF!</definedName>
    <definedName name="MtEmprunt" localSheetId="0">#REF!</definedName>
    <definedName name="MtEmprunt">#REF!</definedName>
    <definedName name="NbDeci" localSheetId="0">#REF!</definedName>
    <definedName name="NbDeci">#REF!</definedName>
    <definedName name="NbEch" localSheetId="0">#REF!</definedName>
    <definedName name="NbEch">#REF!</definedName>
    <definedName name="NbEchAn" localSheetId="0">#REF!</definedName>
    <definedName name="NbEchAn">#REF!</definedName>
    <definedName name="NoEchMaxi" localSheetId="0">#REF!</definedName>
    <definedName name="NoEchMaxi">#REF!</definedName>
    <definedName name="NoEchRemb" localSheetId="0">#REF!</definedName>
    <definedName name="NoEchRemb">#REF!</definedName>
    <definedName name="Nombre_échéances" localSheetId="0">#REF!</definedName>
    <definedName name="Nombre_échéances">#REF!</definedName>
    <definedName name="Periodicite" localSheetId="0">#REF!</definedName>
    <definedName name="Periodicite">#REF!</definedName>
    <definedName name="RVDebit" localSheetId="0">#REF!</definedName>
    <definedName name="RVDebit">#REF!</definedName>
    <definedName name="TauxActuariel" localSheetId="0">#REF!</definedName>
    <definedName name="TauxActuariel">#REF!</definedName>
    <definedName name="Total_Capital" localSheetId="0">#REF!</definedName>
    <definedName name="Total_Capital">#REF!</definedName>
    <definedName name="Total_Frais" localSheetId="0">#REF!</definedName>
    <definedName name="Total_Frais">#REF!</definedName>
    <definedName name="Total_Intérêts" localSheetId="0">#REF!</definedName>
    <definedName name="Total_Intérêts">#REF!</definedName>
    <definedName name="TVDebit" localSheetId="0">#REF!</definedName>
    <definedName name="TVDebit">#REF!</definedName>
    <definedName name="TxPer" localSheetId="0">#REF!</definedName>
    <definedName name="TxP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  <c r="I27" i="1" s="1"/>
  <c r="I26" i="1"/>
  <c r="I25" i="1"/>
  <c r="I24" i="1"/>
  <c r="I23" i="1"/>
  <c r="I22" i="1"/>
  <c r="I21" i="1"/>
  <c r="F19" i="1"/>
  <c r="F29" i="1" s="1"/>
  <c r="I18" i="1"/>
  <c r="I17" i="1"/>
  <c r="I16" i="1"/>
  <c r="I15" i="1"/>
  <c r="I14" i="1"/>
  <c r="I13" i="1"/>
  <c r="I12" i="1"/>
  <c r="I11" i="1"/>
  <c r="I10" i="1"/>
  <c r="I9" i="1"/>
  <c r="I8" i="1"/>
  <c r="G21" i="1" l="1"/>
  <c r="G14" i="1"/>
  <c r="G8" i="1"/>
  <c r="G23" i="1"/>
  <c r="G16" i="1"/>
  <c r="G22" i="1"/>
  <c r="G15" i="1"/>
  <c r="G26" i="1"/>
  <c r="G13" i="1"/>
  <c r="G25" i="1"/>
  <c r="G18" i="1"/>
  <c r="G12" i="1"/>
  <c r="G17" i="1"/>
  <c r="G11" i="1"/>
  <c r="G10" i="1"/>
  <c r="G9" i="1"/>
  <c r="G24" i="1"/>
  <c r="I19" i="1"/>
  <c r="I29" i="1" s="1"/>
  <c r="G19" i="1" l="1"/>
  <c r="G27" i="1"/>
  <c r="G29" i="1" l="1"/>
</calcChain>
</file>

<file path=xl/sharedStrings.xml><?xml version="1.0" encoding="utf-8"?>
<sst xmlns="http://schemas.openxmlformats.org/spreadsheetml/2006/main" count="60" uniqueCount="40">
  <si>
    <t>SHAREHOLDERS REGISTER EXTRACT</t>
  </si>
  <si>
    <t>WATERGARDEN MANAGEMENT S.à.r.l. - Luxembourg</t>
  </si>
  <si>
    <t>Shares Nominal Value</t>
  </si>
  <si>
    <t>SHAREHOLDER</t>
  </si>
  <si>
    <t>B.O.</t>
  </si>
  <si>
    <t>CLASS</t>
  </si>
  <si>
    <t>NR SHARES</t>
  </si>
  <si>
    <t>% Det.</t>
  </si>
  <si>
    <t>SOC. CAP.</t>
  </si>
  <si>
    <t>BELARDI Alfonso</t>
  </si>
  <si>
    <t>A</t>
  </si>
  <si>
    <t>VANDI Sergio</t>
  </si>
  <si>
    <t>MURGIA Jean-Pierre</t>
  </si>
  <si>
    <t>BOSI Giannino Stefano</t>
  </si>
  <si>
    <t>CANTON Marco</t>
  </si>
  <si>
    <t>HEMAWITI Susik</t>
  </si>
  <si>
    <t>VIGNOLLE Giorgio</t>
  </si>
  <si>
    <t>STERZI Marco</t>
  </si>
  <si>
    <t>TUBIA Edoardo</t>
  </si>
  <si>
    <t>TUBIA Enrico</t>
  </si>
  <si>
    <t>GLENELG SA</t>
  </si>
  <si>
    <t>TOSCANO Franco - Luxembourg</t>
  </si>
  <si>
    <t>ALIX Marylène</t>
  </si>
  <si>
    <t>B</t>
  </si>
  <si>
    <t>STERZI Adonella</t>
  </si>
  <si>
    <t>DESIDERIO Salvatore</t>
  </si>
  <si>
    <t>M.M.M FINANCE SARL.</t>
  </si>
  <si>
    <t>MATTIELLO Family ***</t>
  </si>
  <si>
    <t>***</t>
  </si>
  <si>
    <t>MATTIELLO Veneranda</t>
  </si>
  <si>
    <t>Suisse</t>
  </si>
  <si>
    <t>MATTIELLO Mario</t>
  </si>
  <si>
    <t>MATTIELLO Menico</t>
  </si>
  <si>
    <t>______________________________</t>
  </si>
  <si>
    <t>_______________________________</t>
  </si>
  <si>
    <t>TUBIA EDOARDO</t>
  </si>
  <si>
    <t>STERZI MARCO</t>
  </si>
  <si>
    <t>Administrateur</t>
  </si>
  <si>
    <t>Luxembourg, 21.05.2024</t>
  </si>
  <si>
    <t xml:space="preserve">     06/05/2026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</si>
</sst>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&quot;£&quot;#,##0.00"/>
    <numFmt numFmtId="166" formatCode="#,##0.00\ [$€-1];[Red]\-#,##0.00\ [$€-1]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1" applyFont="1"/>
    <xf numFmtId="0" fontId="1" fillId="0" borderId="0" xfId="1"/>
    <xf numFmtId="164" fontId="2" fillId="0" borderId="0" xfId="1" applyNumberFormat="1" applyFont="1" applyAlignment="1">
      <alignment horizontal="center"/>
    </xf>
    <xf numFmtId="165" fontId="2" fillId="0" borderId="0" xfId="1" applyNumberFormat="1" applyFont="1"/>
    <xf numFmtId="165" fontId="1" fillId="0" borderId="0" xfId="1" applyNumberFormat="1"/>
    <xf numFmtId="0" fontId="4" fillId="0" borderId="0" xfId="1" applyFont="1"/>
    <xf numFmtId="0" fontId="2" fillId="0" borderId="0" xfId="1" applyFont="1"/>
    <xf numFmtId="164" fontId="2" fillId="0" borderId="0" xfId="1" applyNumberFormat="1" applyFont="1" applyAlignment="1">
      <alignment horizontal="left"/>
    </xf>
    <xf numFmtId="166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165" fontId="2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right"/>
    </xf>
    <xf numFmtId="10" fontId="3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right"/>
    </xf>
    <xf numFmtId="166" fontId="1" fillId="0" borderId="0" xfId="1" applyNumberFormat="1"/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right"/>
    </xf>
    <xf numFmtId="10" fontId="3" fillId="0" borderId="1" xfId="1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right"/>
    </xf>
    <xf numFmtId="0" fontId="5" fillId="0" borderId="0" xfId="1" applyFont="1"/>
    <xf numFmtId="0" fontId="5" fillId="0" borderId="1" xfId="1" applyFont="1" applyBorder="1"/>
    <xf numFmtId="9" fontId="6" fillId="0" borderId="2" xfId="0" applyNumberFormat="1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9" fontId="6" fillId="0" borderId="5" xfId="0" applyNumberFormat="1" applyFont="1" applyBorder="1" applyAlignment="1">
      <alignment horizontal="center"/>
    </xf>
    <xf numFmtId="0" fontId="6" fillId="0" borderId="0" xfId="0" applyFont="1"/>
    <xf numFmtId="0" fontId="6" fillId="0" borderId="6" xfId="0" applyFont="1" applyBorder="1"/>
    <xf numFmtId="9" fontId="6" fillId="0" borderId="7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8" xfId="0" applyFont="1" applyBorder="1"/>
    <xf numFmtId="14" fontId="2" fillId="0" borderId="0" xfId="1" applyNumberFormat="1" applyFont="1" applyAlignment="1">
      <alignment horizontal="left"/>
    </xf>
  </cellXfs>
  <cellStyles count="2">
    <cellStyle name="Normal 5" xfId="1" xr:uid="{1272423F-F4E6-4EB3-A1D0-F4D1527F0D59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RASILE%20-%20SPA%20ARCOIRIS\2%20-%20WATERGARDEN%20MANAGEMENT\AZIONISTI%20%20SPA%20-%20BRASILE\NEW%20Shareholders%20Watergarden-Arcoiris%2005.2026.xlsx" TargetMode="External"/><Relationship Id="rId1" Type="http://schemas.openxmlformats.org/officeDocument/2006/relationships/externalLinkPath" Target="file:///E:\BRASILE%20-%20SPA%20ARCOIRIS\2%20-%20WATERGARDEN%20MANAGEMENT\AZIONISTI%20%20SPA%20-%20BRASILE\NEW%20Shareholders%20Watergarden-Arcoiris%20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e"/>
      <sheetName val="Soci Watergarden"/>
      <sheetName val="Soci Arcoiris"/>
      <sheetName val="Doc I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7ECB-0CCD-4473-8012-7A2DA9F27AC7}">
  <dimension ref="B2:J39"/>
  <sheetViews>
    <sheetView tabSelected="1" topLeftCell="A4" workbookViewId="0">
      <selection activeCell="D7" sqref="D7"/>
    </sheetView>
  </sheetViews>
  <sheetFormatPr defaultColWidth="9.140625" defaultRowHeight="15" x14ac:dyDescent="0.25"/>
  <cols>
    <col min="1" max="1" width="4.7109375" style="2" customWidth="1"/>
    <col min="2" max="2" width="12" style="2" customWidth="1"/>
    <col min="3" max="3" width="30" style="2" customWidth="1"/>
    <col min="4" max="4" width="35.7109375" style="2" customWidth="1"/>
    <col min="5" max="5" width="10" style="2" customWidth="1"/>
    <col min="6" max="6" width="13.140625" style="3" customWidth="1"/>
    <col min="7" max="7" width="12.28515625" style="2" customWidth="1"/>
    <col min="8" max="8" width="2.7109375" style="2" customWidth="1"/>
    <col min="9" max="9" width="17.85546875" style="4" customWidth="1"/>
    <col min="10" max="10" width="4.28515625" style="5" customWidth="1"/>
    <col min="11" max="16384" width="9.140625" style="2"/>
  </cols>
  <sheetData>
    <row r="2" spans="2:10" ht="15.75" x14ac:dyDescent="0.25">
      <c r="B2" s="1" t="s">
        <v>0</v>
      </c>
    </row>
    <row r="3" spans="2:10" ht="21" x14ac:dyDescent="0.35">
      <c r="B3" s="6" t="s">
        <v>1</v>
      </c>
    </row>
    <row r="4" spans="2:10" x14ac:dyDescent="0.25">
      <c r="B4" s="7"/>
      <c r="F4" s="8" t="s">
        <v>2</v>
      </c>
      <c r="I4" s="9">
        <v>2</v>
      </c>
    </row>
    <row r="6" spans="2:10" s="11" customFormat="1" x14ac:dyDescent="0.25">
      <c r="B6" s="10"/>
      <c r="C6" s="10" t="s">
        <v>3</v>
      </c>
      <c r="D6" s="10" t="s">
        <v>4</v>
      </c>
      <c r="E6" s="10" t="s">
        <v>5</v>
      </c>
      <c r="F6" s="3" t="s">
        <v>6</v>
      </c>
      <c r="G6" s="10" t="s">
        <v>7</v>
      </c>
      <c r="I6" s="12" t="s">
        <v>8</v>
      </c>
      <c r="J6" s="12"/>
    </row>
    <row r="7" spans="2:10" x14ac:dyDescent="0.25">
      <c r="B7" s="7"/>
      <c r="C7" s="7"/>
      <c r="D7" s="7"/>
      <c r="E7" s="7"/>
    </row>
    <row r="8" spans="2:10" ht="15.75" x14ac:dyDescent="0.25">
      <c r="B8" s="13">
        <v>1</v>
      </c>
      <c r="C8" s="1" t="s">
        <v>9</v>
      </c>
      <c r="D8" s="1"/>
      <c r="E8" s="13" t="s">
        <v>10</v>
      </c>
      <c r="F8" s="14">
        <v>151461</v>
      </c>
      <c r="G8" s="15">
        <f t="shared" ref="G8:G18" si="0">F8/$F$29</f>
        <v>6.975526407899342E-2</v>
      </c>
      <c r="I8" s="16">
        <f>$I$4*F8</f>
        <v>302922</v>
      </c>
      <c r="J8" s="17"/>
    </row>
    <row r="9" spans="2:10" ht="15.75" x14ac:dyDescent="0.25">
      <c r="B9" s="13">
        <v>2</v>
      </c>
      <c r="C9" s="1" t="s">
        <v>11</v>
      </c>
      <c r="D9" s="1"/>
      <c r="E9" s="13" t="s">
        <v>10</v>
      </c>
      <c r="F9" s="14">
        <v>151461</v>
      </c>
      <c r="G9" s="15">
        <f t="shared" si="0"/>
        <v>6.975526407899342E-2</v>
      </c>
      <c r="I9" s="16">
        <f t="shared" ref="I9:I19" si="1">$I$4*F9</f>
        <v>302922</v>
      </c>
      <c r="J9" s="17"/>
    </row>
    <row r="10" spans="2:10" ht="15.75" x14ac:dyDescent="0.25">
      <c r="B10" s="13">
        <v>3</v>
      </c>
      <c r="C10" s="1" t="s">
        <v>12</v>
      </c>
      <c r="D10" s="1"/>
      <c r="E10" s="13" t="s">
        <v>10</v>
      </c>
      <c r="F10" s="14">
        <v>151461</v>
      </c>
      <c r="G10" s="15">
        <f t="shared" si="0"/>
        <v>6.975526407899342E-2</v>
      </c>
      <c r="I10" s="16">
        <f t="shared" si="1"/>
        <v>302922</v>
      </c>
      <c r="J10" s="17"/>
    </row>
    <row r="11" spans="2:10" ht="15.75" x14ac:dyDescent="0.25">
      <c r="B11" s="13">
        <v>4</v>
      </c>
      <c r="C11" s="1" t="s">
        <v>13</v>
      </c>
      <c r="D11" s="1"/>
      <c r="E11" s="13" t="s">
        <v>10</v>
      </c>
      <c r="F11" s="14">
        <v>151461</v>
      </c>
      <c r="G11" s="15">
        <f t="shared" si="0"/>
        <v>6.975526407899342E-2</v>
      </c>
      <c r="I11" s="16">
        <f t="shared" si="1"/>
        <v>302922</v>
      </c>
      <c r="J11" s="17"/>
    </row>
    <row r="12" spans="2:10" ht="15.75" x14ac:dyDescent="0.25">
      <c r="B12" s="13">
        <v>5</v>
      </c>
      <c r="C12" s="1" t="s">
        <v>14</v>
      </c>
      <c r="D12" s="1"/>
      <c r="E12" s="13" t="s">
        <v>10</v>
      </c>
      <c r="F12" s="14">
        <v>151461</v>
      </c>
      <c r="G12" s="15">
        <f t="shared" si="0"/>
        <v>6.975526407899342E-2</v>
      </c>
      <c r="I12" s="16">
        <f t="shared" si="1"/>
        <v>302922</v>
      </c>
      <c r="J12" s="17"/>
    </row>
    <row r="13" spans="2:10" ht="15.75" x14ac:dyDescent="0.25">
      <c r="B13" s="13">
        <v>6</v>
      </c>
      <c r="C13" s="1" t="s">
        <v>15</v>
      </c>
      <c r="D13" s="1"/>
      <c r="E13" s="13" t="s">
        <v>10</v>
      </c>
      <c r="F13" s="14">
        <v>147915</v>
      </c>
      <c r="G13" s="15">
        <f t="shared" si="0"/>
        <v>6.8122156107805393E-2</v>
      </c>
      <c r="I13" s="16">
        <f t="shared" si="1"/>
        <v>295830</v>
      </c>
      <c r="J13" s="17"/>
    </row>
    <row r="14" spans="2:10" ht="15.75" x14ac:dyDescent="0.25">
      <c r="B14" s="13">
        <v>7</v>
      </c>
      <c r="C14" s="1" t="s">
        <v>16</v>
      </c>
      <c r="D14" s="1"/>
      <c r="E14" s="13" t="s">
        <v>10</v>
      </c>
      <c r="F14" s="14">
        <v>75733</v>
      </c>
      <c r="G14" s="15">
        <f t="shared" si="0"/>
        <v>3.4878783412854851E-2</v>
      </c>
      <c r="I14" s="16">
        <f t="shared" si="1"/>
        <v>151466</v>
      </c>
      <c r="J14" s="17"/>
    </row>
    <row r="15" spans="2:10" ht="15.75" x14ac:dyDescent="0.25">
      <c r="B15" s="13">
        <v>8</v>
      </c>
      <c r="C15" s="1" t="s">
        <v>17</v>
      </c>
      <c r="D15" s="1"/>
      <c r="E15" s="13" t="s">
        <v>10</v>
      </c>
      <c r="F15" s="14">
        <v>75733</v>
      </c>
      <c r="G15" s="15">
        <f t="shared" si="0"/>
        <v>3.4878783412854851E-2</v>
      </c>
      <c r="I15" s="16">
        <f t="shared" si="1"/>
        <v>151466</v>
      </c>
      <c r="J15" s="17"/>
    </row>
    <row r="16" spans="2:10" ht="15.75" x14ac:dyDescent="0.25">
      <c r="B16" s="13">
        <v>9</v>
      </c>
      <c r="C16" s="1" t="s">
        <v>18</v>
      </c>
      <c r="D16" s="1"/>
      <c r="E16" s="13" t="s">
        <v>10</v>
      </c>
      <c r="F16" s="14">
        <v>151461</v>
      </c>
      <c r="G16" s="15">
        <f t="shared" si="0"/>
        <v>6.975526407899342E-2</v>
      </c>
      <c r="I16" s="16">
        <f t="shared" si="1"/>
        <v>302922</v>
      </c>
      <c r="J16" s="17"/>
    </row>
    <row r="17" spans="2:10" ht="15.75" x14ac:dyDescent="0.25">
      <c r="B17" s="13">
        <v>10</v>
      </c>
      <c r="C17" s="1" t="s">
        <v>19</v>
      </c>
      <c r="D17" s="1"/>
      <c r="E17" s="13" t="s">
        <v>10</v>
      </c>
      <c r="F17" s="14">
        <v>151461</v>
      </c>
      <c r="G17" s="15">
        <f t="shared" si="0"/>
        <v>6.975526407899342E-2</v>
      </c>
      <c r="I17" s="16">
        <f t="shared" si="1"/>
        <v>302922</v>
      </c>
      <c r="J17" s="17"/>
    </row>
    <row r="18" spans="2:10" ht="15.75" x14ac:dyDescent="0.25">
      <c r="B18" s="13">
        <v>11</v>
      </c>
      <c r="C18" s="1" t="s">
        <v>20</v>
      </c>
      <c r="D18" s="1" t="s">
        <v>21</v>
      </c>
      <c r="E18" s="18" t="s">
        <v>10</v>
      </c>
      <c r="F18" s="19">
        <v>302933</v>
      </c>
      <c r="G18" s="20">
        <f t="shared" si="0"/>
        <v>0.13951559420076268</v>
      </c>
      <c r="I18" s="21">
        <f t="shared" si="1"/>
        <v>605866</v>
      </c>
      <c r="J18" s="17"/>
    </row>
    <row r="19" spans="2:10" ht="15.75" x14ac:dyDescent="0.25">
      <c r="B19" s="13"/>
      <c r="C19" s="1"/>
      <c r="D19" s="1"/>
      <c r="E19" s="1"/>
      <c r="F19" s="14">
        <f>SUM(F8:F18)</f>
        <v>1662541</v>
      </c>
      <c r="G19" s="15">
        <f>SUM(G8:G18)</f>
        <v>0.76568216568723169</v>
      </c>
      <c r="I19" s="16">
        <f t="shared" si="1"/>
        <v>3325082</v>
      </c>
      <c r="J19" s="17"/>
    </row>
    <row r="20" spans="2:10" ht="15.75" x14ac:dyDescent="0.25">
      <c r="B20" s="13"/>
      <c r="C20" s="1"/>
      <c r="D20" s="1"/>
      <c r="E20" s="1"/>
      <c r="F20" s="14"/>
      <c r="G20" s="15"/>
      <c r="I20" s="16"/>
      <c r="J20" s="17"/>
    </row>
    <row r="21" spans="2:10" ht="15.75" x14ac:dyDescent="0.25">
      <c r="B21" s="13">
        <v>12</v>
      </c>
      <c r="C21" s="1" t="s">
        <v>22</v>
      </c>
      <c r="D21" s="1"/>
      <c r="E21" s="13" t="s">
        <v>23</v>
      </c>
      <c r="F21" s="14">
        <v>67701</v>
      </c>
      <c r="G21" s="15">
        <f t="shared" ref="G21:G26" si="2">F21/$F$29</f>
        <v>3.1179651087817548E-2</v>
      </c>
      <c r="I21" s="16">
        <f t="shared" ref="I21:I27" si="3">$I$4*F21</f>
        <v>135402</v>
      </c>
      <c r="J21" s="17"/>
    </row>
    <row r="22" spans="2:10" ht="15.75" x14ac:dyDescent="0.25">
      <c r="B22" s="13">
        <v>13</v>
      </c>
      <c r="C22" s="1" t="s">
        <v>24</v>
      </c>
      <c r="D22" s="1"/>
      <c r="E22" s="13" t="s">
        <v>23</v>
      </c>
      <c r="F22" s="14">
        <v>40402</v>
      </c>
      <c r="G22" s="15">
        <f t="shared" si="2"/>
        <v>1.8607114566254628E-2</v>
      </c>
      <c r="I22" s="16">
        <f t="shared" si="3"/>
        <v>80804</v>
      </c>
      <c r="J22" s="17"/>
    </row>
    <row r="23" spans="2:10" ht="15.75" x14ac:dyDescent="0.25">
      <c r="B23" s="13">
        <v>14</v>
      </c>
      <c r="C23" s="1" t="s">
        <v>17</v>
      </c>
      <c r="D23" s="1"/>
      <c r="E23" s="13" t="s">
        <v>23</v>
      </c>
      <c r="F23" s="14">
        <v>40401</v>
      </c>
      <c r="G23" s="15">
        <f t="shared" si="2"/>
        <v>1.8606654016911372E-2</v>
      </c>
      <c r="I23" s="16">
        <f t="shared" si="3"/>
        <v>80802</v>
      </c>
      <c r="J23" s="17"/>
    </row>
    <row r="24" spans="2:10" ht="15.75" x14ac:dyDescent="0.25">
      <c r="B24" s="13">
        <v>15</v>
      </c>
      <c r="C24" s="1" t="s">
        <v>19</v>
      </c>
      <c r="D24" s="1"/>
      <c r="E24" s="13" t="s">
        <v>23</v>
      </c>
      <c r="F24" s="14">
        <v>73805</v>
      </c>
      <c r="G24" s="15">
        <f t="shared" si="2"/>
        <v>3.3990844279056055E-2</v>
      </c>
      <c r="I24" s="16">
        <f t="shared" si="3"/>
        <v>147610</v>
      </c>
      <c r="J24" s="17"/>
    </row>
    <row r="25" spans="2:10" ht="15.75" x14ac:dyDescent="0.25">
      <c r="B25" s="13">
        <v>16</v>
      </c>
      <c r="C25" s="1" t="s">
        <v>25</v>
      </c>
      <c r="D25" s="1"/>
      <c r="E25" s="13" t="s">
        <v>23</v>
      </c>
      <c r="F25" s="14">
        <v>180220</v>
      </c>
      <c r="G25" s="15">
        <f t="shared" si="2"/>
        <v>8.3000202641711027E-2</v>
      </c>
      <c r="I25" s="16">
        <f t="shared" si="3"/>
        <v>360440</v>
      </c>
      <c r="J25" s="17"/>
    </row>
    <row r="26" spans="2:10" ht="15.75" x14ac:dyDescent="0.25">
      <c r="B26" s="13">
        <v>17</v>
      </c>
      <c r="C26" s="1" t="s">
        <v>26</v>
      </c>
      <c r="D26" s="1" t="s">
        <v>27</v>
      </c>
      <c r="E26" s="18" t="s">
        <v>23</v>
      </c>
      <c r="F26" s="19">
        <v>106250</v>
      </c>
      <c r="G26" s="20">
        <f t="shared" si="2"/>
        <v>4.8933367721017633E-2</v>
      </c>
      <c r="I26" s="21">
        <f t="shared" si="3"/>
        <v>212500</v>
      </c>
      <c r="J26" s="17"/>
    </row>
    <row r="27" spans="2:10" ht="15.75" x14ac:dyDescent="0.25">
      <c r="B27" s="13"/>
      <c r="C27" s="1"/>
      <c r="D27" s="1"/>
      <c r="E27" s="1"/>
      <c r="F27" s="14">
        <f>SUM(F21:F26)</f>
        <v>508779</v>
      </c>
      <c r="G27" s="15">
        <f>SUM(G21:G26)</f>
        <v>0.23431783431276826</v>
      </c>
      <c r="I27" s="16">
        <f t="shared" si="3"/>
        <v>1017558</v>
      </c>
      <c r="J27" s="17"/>
    </row>
    <row r="28" spans="2:10" ht="15.75" x14ac:dyDescent="0.25">
      <c r="B28" s="22" t="s">
        <v>28</v>
      </c>
      <c r="C28" s="22"/>
      <c r="D28" s="22"/>
      <c r="E28" s="22"/>
      <c r="F28" s="19"/>
      <c r="G28" s="23"/>
      <c r="I28" s="21"/>
      <c r="J28" s="17"/>
    </row>
    <row r="29" spans="2:10" ht="15.75" x14ac:dyDescent="0.25">
      <c r="B29" s="24">
        <v>0.3</v>
      </c>
      <c r="C29" s="25" t="s">
        <v>29</v>
      </c>
      <c r="D29" s="26" t="s">
        <v>30</v>
      </c>
      <c r="E29" s="22"/>
      <c r="F29" s="14">
        <f>F19+F27</f>
        <v>2171320</v>
      </c>
      <c r="G29" s="15">
        <f>G19+G27</f>
        <v>1</v>
      </c>
      <c r="I29" s="16">
        <f>I19+I27</f>
        <v>4342640</v>
      </c>
      <c r="J29" s="17"/>
    </row>
    <row r="30" spans="2:10" x14ac:dyDescent="0.25">
      <c r="B30" s="27">
        <v>0.3</v>
      </c>
      <c r="C30" s="28" t="s">
        <v>31</v>
      </c>
      <c r="D30" s="29" t="s">
        <v>30</v>
      </c>
    </row>
    <row r="31" spans="2:10" x14ac:dyDescent="0.25">
      <c r="B31" s="30">
        <v>0.4</v>
      </c>
      <c r="C31" s="31" t="s">
        <v>32</v>
      </c>
      <c r="D31" s="32" t="s">
        <v>30</v>
      </c>
    </row>
    <row r="35" spans="2:5" x14ac:dyDescent="0.25">
      <c r="B35" s="2" t="s">
        <v>33</v>
      </c>
      <c r="E35" s="2" t="s">
        <v>34</v>
      </c>
    </row>
    <row r="36" spans="2:5" x14ac:dyDescent="0.25">
      <c r="B36" s="7" t="s">
        <v>35</v>
      </c>
      <c r="C36" s="7"/>
      <c r="D36" s="7"/>
      <c r="E36" s="8" t="s">
        <v>36</v>
      </c>
    </row>
    <row r="37" spans="2:5" x14ac:dyDescent="0.25">
      <c r="B37" s="7" t="s">
        <v>37</v>
      </c>
      <c r="C37" s="7"/>
      <c r="D37" s="7"/>
      <c r="E37" s="7" t="s">
        <v>37</v>
      </c>
    </row>
    <row r="39" spans="2:5" x14ac:dyDescent="0.25">
      <c r="B39" s="7" t="s">
        <v>38</v>
      </c>
      <c r="C39" s="33" t="s">
        <v>39</v>
      </c>
    </row>
  </sheetData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Registre</vt:lpstr>
      <vt:lpstr>Registre!Area_stampa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2026-07-18T11:12:29Z</dcterms:created>
  <dcterms:modified xsi:type="dcterms:W3CDTF">2026-07-18T11:17:03Z</dcterms:modified>
</cp:coreProperties>
</file>