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oardo\.gemini\antigravity\scratch\DASHBOARD_BRASIL\"/>
    </mc:Choice>
  </mc:AlternateContent>
  <xr:revisionPtr revIDLastSave="0" documentId="13_ncr:1_{CF7547FB-D74D-4F49-9DA1-3303265A47DD}" xr6:coauthVersionLast="47" xr6:coauthVersionMax="47" xr10:uidLastSave="{00000000-0000-0000-0000-000000000000}"/>
  <bookViews>
    <workbookView xWindow="-120" yWindow="-120" windowWidth="29040" windowHeight="15720" xr2:uid="{4DC6B9C3-1844-4AFD-84C5-8F1E979BB903}"/>
  </bookViews>
  <sheets>
    <sheet name="DATABASE TOT" sheetId="1" r:id="rId1"/>
  </sheets>
  <externalReferences>
    <externalReference r:id="rId2"/>
  </externalReferences>
  <definedNames>
    <definedName name="selection">'[1]DET FATT'!$AG$5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5" i="1" l="1"/>
  <c r="L114" i="1"/>
  <c r="L115" i="1"/>
  <c r="L121" i="1"/>
  <c r="J121" i="1"/>
  <c r="M121" i="1" s="1"/>
  <c r="N121" i="1" s="1"/>
  <c r="A121" i="1"/>
  <c r="L120" i="1"/>
  <c r="J120" i="1"/>
  <c r="M120" i="1" s="1"/>
  <c r="N120" i="1" s="1"/>
  <c r="A120" i="1"/>
  <c r="M119" i="1"/>
  <c r="N119" i="1" s="1"/>
  <c r="L119" i="1"/>
  <c r="J119" i="1"/>
  <c r="A119" i="1"/>
  <c r="J118" i="1"/>
  <c r="M118" i="1" s="1"/>
  <c r="N118" i="1" s="1"/>
  <c r="A118" i="1"/>
  <c r="J117" i="1"/>
  <c r="M117" i="1" s="1"/>
  <c r="N117" i="1" s="1"/>
  <c r="A117" i="1"/>
  <c r="W116" i="1"/>
  <c r="T116" i="1"/>
  <c r="U116" i="1" s="1"/>
  <c r="J116" i="1"/>
  <c r="M116" i="1" s="1"/>
  <c r="N116" i="1" s="1"/>
  <c r="A116" i="1"/>
  <c r="U115" i="1"/>
  <c r="N115" i="1"/>
  <c r="J115" i="1"/>
  <c r="A115" i="1"/>
  <c r="J114" i="1"/>
  <c r="M114" i="1" s="1"/>
  <c r="N114" i="1" s="1"/>
  <c r="A114" i="1"/>
  <c r="J113" i="1"/>
  <c r="M113" i="1" s="1"/>
  <c r="L113" i="1" s="1"/>
  <c r="A113" i="1"/>
  <c r="J112" i="1"/>
  <c r="M112" i="1" s="1"/>
  <c r="A112" i="1"/>
  <c r="M111" i="1"/>
  <c r="N111" i="1" s="1"/>
  <c r="L111" i="1"/>
  <c r="J111" i="1"/>
  <c r="A111" i="1"/>
  <c r="J110" i="1"/>
  <c r="M110" i="1" s="1"/>
  <c r="A110" i="1"/>
  <c r="M109" i="1"/>
  <c r="L109" i="1" s="1"/>
  <c r="J109" i="1"/>
  <c r="A109" i="1"/>
  <c r="J108" i="1"/>
  <c r="M108" i="1" s="1"/>
  <c r="A108" i="1"/>
  <c r="M107" i="1"/>
  <c r="N107" i="1" s="1"/>
  <c r="L107" i="1"/>
  <c r="J107" i="1"/>
  <c r="A107" i="1"/>
  <c r="M106" i="1"/>
  <c r="J106" i="1"/>
  <c r="A106" i="1"/>
  <c r="J105" i="1"/>
  <c r="M105" i="1" s="1"/>
  <c r="A105" i="1"/>
  <c r="W104" i="1"/>
  <c r="T104" i="1"/>
  <c r="U104" i="1" s="1"/>
  <c r="J104" i="1"/>
  <c r="M104" i="1" s="1"/>
  <c r="A104" i="1"/>
  <c r="U103" i="1"/>
  <c r="J103" i="1"/>
  <c r="M103" i="1" s="1"/>
  <c r="A103" i="1"/>
  <c r="M102" i="1"/>
  <c r="J102" i="1"/>
  <c r="A102" i="1"/>
  <c r="M101" i="1"/>
  <c r="N101" i="1" s="1"/>
  <c r="L101" i="1"/>
  <c r="J101" i="1"/>
  <c r="A101" i="1"/>
  <c r="J100" i="1"/>
  <c r="M100" i="1" s="1"/>
  <c r="L100" i="1" s="1"/>
  <c r="A100" i="1"/>
  <c r="J99" i="1"/>
  <c r="M99" i="1" s="1"/>
  <c r="A99" i="1"/>
  <c r="M98" i="1"/>
  <c r="L98" i="1"/>
  <c r="J98" i="1"/>
  <c r="A98" i="1"/>
  <c r="J97" i="1"/>
  <c r="M97" i="1" s="1"/>
  <c r="N97" i="1" s="1"/>
  <c r="A97" i="1"/>
  <c r="M96" i="1"/>
  <c r="L96" i="1" s="1"/>
  <c r="J96" i="1"/>
  <c r="A96" i="1"/>
  <c r="J95" i="1"/>
  <c r="M95" i="1" s="1"/>
  <c r="A95" i="1"/>
  <c r="M94" i="1"/>
  <c r="N94" i="1" s="1"/>
  <c r="L94" i="1"/>
  <c r="J94" i="1"/>
  <c r="A94" i="1"/>
  <c r="M93" i="1"/>
  <c r="N93" i="1" s="1"/>
  <c r="J93" i="1"/>
  <c r="A93" i="1"/>
  <c r="W92" i="1"/>
  <c r="T92" i="1"/>
  <c r="U92" i="1" s="1"/>
  <c r="M92" i="1"/>
  <c r="N92" i="1" s="1"/>
  <c r="L92" i="1"/>
  <c r="J92" i="1"/>
  <c r="A92" i="1"/>
  <c r="U91" i="1"/>
  <c r="J91" i="1"/>
  <c r="M91" i="1" s="1"/>
  <c r="A91" i="1"/>
  <c r="J90" i="1"/>
  <c r="M90" i="1" s="1"/>
  <c r="A90" i="1"/>
  <c r="M89" i="1"/>
  <c r="J89" i="1"/>
  <c r="A89" i="1"/>
  <c r="J88" i="1"/>
  <c r="M88" i="1" s="1"/>
  <c r="A88" i="1"/>
  <c r="J87" i="1"/>
  <c r="M87" i="1" s="1"/>
  <c r="L87" i="1" s="1"/>
  <c r="A87" i="1"/>
  <c r="J86" i="1"/>
  <c r="M86" i="1" s="1"/>
  <c r="A86" i="1"/>
  <c r="M85" i="1"/>
  <c r="L85" i="1"/>
  <c r="J85" i="1"/>
  <c r="A85" i="1"/>
  <c r="J84" i="1"/>
  <c r="M84" i="1" s="1"/>
  <c r="N84" i="1" s="1"/>
  <c r="A84" i="1"/>
  <c r="W83" i="1"/>
  <c r="T83" i="1"/>
  <c r="M83" i="1"/>
  <c r="J83" i="1"/>
  <c r="A83" i="1"/>
  <c r="U82" i="1"/>
  <c r="J82" i="1"/>
  <c r="M82" i="1" s="1"/>
  <c r="A82" i="1"/>
  <c r="M81" i="1"/>
  <c r="L81" i="1"/>
  <c r="J81" i="1"/>
  <c r="A81" i="1"/>
  <c r="L80" i="1"/>
  <c r="J80" i="1"/>
  <c r="M80" i="1" s="1"/>
  <c r="N80" i="1" s="1"/>
  <c r="A80" i="1"/>
  <c r="M79" i="1"/>
  <c r="L79" i="1" s="1"/>
  <c r="J79" i="1"/>
  <c r="A79" i="1"/>
  <c r="J78" i="1"/>
  <c r="M78" i="1" s="1"/>
  <c r="A78" i="1"/>
  <c r="J77" i="1"/>
  <c r="M77" i="1" s="1"/>
  <c r="A77" i="1"/>
  <c r="M76" i="1"/>
  <c r="J76" i="1"/>
  <c r="A76" i="1"/>
  <c r="J75" i="1"/>
  <c r="M75" i="1" s="1"/>
  <c r="A75" i="1"/>
  <c r="J74" i="1"/>
  <c r="M74" i="1" s="1"/>
  <c r="L74" i="1" s="1"/>
  <c r="A74" i="1"/>
  <c r="J73" i="1"/>
  <c r="M73" i="1" s="1"/>
  <c r="A73" i="1"/>
  <c r="M72" i="1"/>
  <c r="L72" i="1"/>
  <c r="J72" i="1"/>
  <c r="A72" i="1"/>
  <c r="W71" i="1"/>
  <c r="T71" i="1"/>
  <c r="U71" i="1" s="1"/>
  <c r="M71" i="1"/>
  <c r="L71" i="1" s="1"/>
  <c r="J71" i="1"/>
  <c r="A71" i="1"/>
  <c r="U70" i="1"/>
  <c r="J70" i="1"/>
  <c r="M70" i="1" s="1"/>
  <c r="A70" i="1"/>
  <c r="J69" i="1"/>
  <c r="M69" i="1" s="1"/>
  <c r="A69" i="1"/>
  <c r="M68" i="1"/>
  <c r="N68" i="1" s="1"/>
  <c r="L68" i="1"/>
  <c r="J68" i="1"/>
  <c r="A68" i="1"/>
  <c r="J67" i="1"/>
  <c r="M67" i="1" s="1"/>
  <c r="L67" i="1" s="1"/>
  <c r="A67" i="1"/>
  <c r="M66" i="1"/>
  <c r="L66" i="1" s="1"/>
  <c r="J66" i="1"/>
  <c r="A66" i="1"/>
  <c r="J65" i="1"/>
  <c r="M65" i="1" s="1"/>
  <c r="A65" i="1"/>
  <c r="J64" i="1"/>
  <c r="M64" i="1" s="1"/>
  <c r="A64" i="1"/>
  <c r="M63" i="1"/>
  <c r="J63" i="1"/>
  <c r="A63" i="1"/>
  <c r="J62" i="1"/>
  <c r="M62" i="1" s="1"/>
  <c r="A62" i="1"/>
  <c r="J61" i="1"/>
  <c r="M61" i="1" s="1"/>
  <c r="A61" i="1"/>
  <c r="J60" i="1"/>
  <c r="M60" i="1" s="1"/>
  <c r="A60" i="1"/>
  <c r="W59" i="1"/>
  <c r="T59" i="1"/>
  <c r="U59" i="1" s="1"/>
  <c r="G59" i="1"/>
  <c r="J59" i="1" s="1"/>
  <c r="M59" i="1" s="1"/>
  <c r="A59" i="1"/>
  <c r="U58" i="1"/>
  <c r="P58" i="1"/>
  <c r="H58" i="1"/>
  <c r="G58" i="1"/>
  <c r="F58" i="1"/>
  <c r="J58" i="1" s="1"/>
  <c r="M58" i="1" s="1"/>
  <c r="L58" i="1" s="1"/>
  <c r="A58" i="1"/>
  <c r="J57" i="1"/>
  <c r="M57" i="1" s="1"/>
  <c r="A57" i="1"/>
  <c r="K56" i="1"/>
  <c r="H56" i="1"/>
  <c r="J56" i="1" s="1"/>
  <c r="M56" i="1" s="1"/>
  <c r="A56" i="1"/>
  <c r="J55" i="1"/>
  <c r="M55" i="1" s="1"/>
  <c r="L55" i="1" s="1"/>
  <c r="A55" i="1"/>
  <c r="M54" i="1"/>
  <c r="L54" i="1"/>
  <c r="J54" i="1"/>
  <c r="A54" i="1"/>
  <c r="M53" i="1"/>
  <c r="L53" i="1" s="1"/>
  <c r="J53" i="1"/>
  <c r="A53" i="1"/>
  <c r="J52" i="1"/>
  <c r="M52" i="1" s="1"/>
  <c r="A52" i="1"/>
  <c r="J51" i="1"/>
  <c r="M51" i="1" s="1"/>
  <c r="L51" i="1" s="1"/>
  <c r="A51" i="1"/>
  <c r="L50" i="1"/>
  <c r="J50" i="1"/>
  <c r="M50" i="1" s="1"/>
  <c r="A50" i="1"/>
  <c r="M49" i="1"/>
  <c r="L49" i="1"/>
  <c r="J49" i="1"/>
  <c r="A49" i="1"/>
  <c r="J48" i="1"/>
  <c r="M48" i="1" s="1"/>
  <c r="A48" i="1"/>
  <c r="W47" i="1"/>
  <c r="U47" i="1"/>
  <c r="T47" i="1"/>
  <c r="M47" i="1"/>
  <c r="J47" i="1"/>
  <c r="A47" i="1"/>
  <c r="U46" i="1"/>
  <c r="J46" i="1"/>
  <c r="M46" i="1" s="1"/>
  <c r="A46" i="1"/>
  <c r="M45" i="1"/>
  <c r="L45" i="1"/>
  <c r="J45" i="1"/>
  <c r="A45" i="1"/>
  <c r="J44" i="1"/>
  <c r="M44" i="1" s="1"/>
  <c r="L44" i="1" s="1"/>
  <c r="A44" i="1"/>
  <c r="L43" i="1"/>
  <c r="J43" i="1"/>
  <c r="M43" i="1" s="1"/>
  <c r="A43" i="1"/>
  <c r="M42" i="1"/>
  <c r="L42" i="1"/>
  <c r="J42" i="1"/>
  <c r="A42" i="1"/>
  <c r="L41" i="1"/>
  <c r="J41" i="1"/>
  <c r="M41" i="1" s="1"/>
  <c r="A41" i="1"/>
  <c r="M40" i="1"/>
  <c r="N40" i="1" s="1"/>
  <c r="L40" i="1"/>
  <c r="J40" i="1"/>
  <c r="A40" i="1"/>
  <c r="J39" i="1"/>
  <c r="M39" i="1" s="1"/>
  <c r="A39" i="1"/>
  <c r="J38" i="1"/>
  <c r="M38" i="1" s="1"/>
  <c r="A38" i="1"/>
  <c r="J37" i="1"/>
  <c r="M37" i="1" s="1"/>
  <c r="A37" i="1"/>
  <c r="M36" i="1"/>
  <c r="N36" i="1" s="1"/>
  <c r="L36" i="1"/>
  <c r="J36" i="1"/>
  <c r="A36" i="1"/>
  <c r="W35" i="1"/>
  <c r="T35" i="1"/>
  <c r="J35" i="1"/>
  <c r="M35" i="1" s="1"/>
  <c r="N35" i="1" s="1"/>
  <c r="A35" i="1"/>
  <c r="U34" i="1"/>
  <c r="M34" i="1"/>
  <c r="L34" i="1" s="1"/>
  <c r="J34" i="1"/>
  <c r="A34" i="1"/>
  <c r="J33" i="1"/>
  <c r="M33" i="1" s="1"/>
  <c r="A33" i="1"/>
  <c r="J32" i="1"/>
  <c r="M32" i="1" s="1"/>
  <c r="A32" i="1"/>
  <c r="M31" i="1"/>
  <c r="J31" i="1"/>
  <c r="A31" i="1"/>
  <c r="M30" i="1"/>
  <c r="L30" i="1" s="1"/>
  <c r="J30" i="1"/>
  <c r="A30" i="1"/>
  <c r="J29" i="1"/>
  <c r="M29" i="1" s="1"/>
  <c r="L29" i="1" s="1"/>
  <c r="A29" i="1"/>
  <c r="J28" i="1"/>
  <c r="M28" i="1" s="1"/>
  <c r="L28" i="1" s="1"/>
  <c r="A28" i="1"/>
  <c r="M27" i="1"/>
  <c r="N27" i="1" s="1"/>
  <c r="L27" i="1"/>
  <c r="J27" i="1"/>
  <c r="A27" i="1"/>
  <c r="J26" i="1"/>
  <c r="M26" i="1" s="1"/>
  <c r="A26" i="1"/>
  <c r="V25" i="1"/>
  <c r="V37" i="1" s="1"/>
  <c r="V49" i="1" s="1"/>
  <c r="V61" i="1" s="1"/>
  <c r="V73" i="1" s="1"/>
  <c r="V85" i="1" s="1"/>
  <c r="V97" i="1" s="1"/>
  <c r="V109" i="1" s="1"/>
  <c r="V121" i="1" s="1"/>
  <c r="M25" i="1"/>
  <c r="L25" i="1" s="1"/>
  <c r="J25" i="1"/>
  <c r="A25" i="1"/>
  <c r="J24" i="1"/>
  <c r="M24" i="1" s="1"/>
  <c r="A24" i="1"/>
  <c r="W23" i="1"/>
  <c r="T23" i="1"/>
  <c r="U35" i="1" s="1"/>
  <c r="M23" i="1"/>
  <c r="L23" i="1" s="1"/>
  <c r="J23" i="1"/>
  <c r="A23" i="1"/>
  <c r="U22" i="1"/>
  <c r="J22" i="1"/>
  <c r="M22" i="1" s="1"/>
  <c r="N22" i="1" s="1"/>
  <c r="A22" i="1"/>
  <c r="M21" i="1"/>
  <c r="L21" i="1"/>
  <c r="J21" i="1"/>
  <c r="A21" i="1"/>
  <c r="J20" i="1"/>
  <c r="M20" i="1" s="1"/>
  <c r="A20" i="1"/>
  <c r="J19" i="1"/>
  <c r="M19" i="1" s="1"/>
  <c r="A19" i="1"/>
  <c r="M18" i="1"/>
  <c r="L18" i="1"/>
  <c r="J18" i="1"/>
  <c r="A18" i="1"/>
  <c r="J17" i="1"/>
  <c r="M17" i="1" s="1"/>
  <c r="A17" i="1"/>
  <c r="M16" i="1"/>
  <c r="L16" i="1" s="1"/>
  <c r="J16" i="1"/>
  <c r="A16" i="1"/>
  <c r="J15" i="1"/>
  <c r="M15" i="1" s="1"/>
  <c r="A15" i="1"/>
  <c r="J14" i="1"/>
  <c r="M14" i="1" s="1"/>
  <c r="A14" i="1"/>
  <c r="M13" i="1"/>
  <c r="L13" i="1" s="1"/>
  <c r="J13" i="1"/>
  <c r="A13" i="1"/>
  <c r="J12" i="1"/>
  <c r="M12" i="1" s="1"/>
  <c r="L12" i="1" s="1"/>
  <c r="A12" i="1"/>
  <c r="M11" i="1"/>
  <c r="L11" i="1"/>
  <c r="J11" i="1"/>
  <c r="A11" i="1"/>
  <c r="M10" i="1"/>
  <c r="L10" i="1" s="1"/>
  <c r="J10" i="1"/>
  <c r="A10" i="1"/>
  <c r="J9" i="1"/>
  <c r="M9" i="1" s="1"/>
  <c r="A9" i="1"/>
  <c r="M8" i="1"/>
  <c r="L8" i="1"/>
  <c r="J8" i="1"/>
  <c r="A8" i="1"/>
  <c r="M7" i="1"/>
  <c r="L7" i="1" s="1"/>
  <c r="J7" i="1"/>
  <c r="A7" i="1"/>
  <c r="J6" i="1"/>
  <c r="M6" i="1" s="1"/>
  <c r="A6" i="1"/>
  <c r="M5" i="1"/>
  <c r="L5" i="1" s="1"/>
  <c r="J5" i="1"/>
  <c r="A5" i="1"/>
  <c r="M4" i="1"/>
  <c r="L4" i="1" s="1"/>
  <c r="J4" i="1"/>
  <c r="A4" i="1"/>
  <c r="J3" i="1"/>
  <c r="M3" i="1" s="1"/>
  <c r="L3" i="1" s="1"/>
  <c r="A3" i="1"/>
  <c r="M2" i="1"/>
  <c r="L2" i="1"/>
  <c r="J2" i="1"/>
  <c r="A2" i="1"/>
  <c r="L118" i="1" l="1"/>
  <c r="L117" i="1"/>
  <c r="L116" i="1"/>
  <c r="N38" i="1"/>
  <c r="L38" i="1"/>
  <c r="T49" i="1"/>
  <c r="N103" i="1"/>
  <c r="L103" i="1"/>
  <c r="L9" i="1"/>
  <c r="N21" i="1"/>
  <c r="N75" i="1"/>
  <c r="L75" i="1"/>
  <c r="T85" i="1"/>
  <c r="U85" i="1" s="1"/>
  <c r="N14" i="1"/>
  <c r="T25" i="1"/>
  <c r="U25" i="1" s="1"/>
  <c r="L14" i="1"/>
  <c r="N18" i="1"/>
  <c r="L6" i="1"/>
  <c r="N19" i="1"/>
  <c r="L19" i="1"/>
  <c r="N77" i="1"/>
  <c r="L77" i="1"/>
  <c r="N105" i="1"/>
  <c r="L105" i="1"/>
  <c r="N52" i="1"/>
  <c r="L52" i="1"/>
  <c r="L90" i="1"/>
  <c r="N90" i="1"/>
  <c r="N48" i="1"/>
  <c r="L48" i="1"/>
  <c r="N82" i="1"/>
  <c r="L82" i="1"/>
  <c r="N17" i="1"/>
  <c r="L17" i="1"/>
  <c r="N60" i="1"/>
  <c r="L60" i="1"/>
  <c r="N73" i="1"/>
  <c r="L73" i="1"/>
  <c r="N46" i="1"/>
  <c r="L46" i="1"/>
  <c r="T73" i="1"/>
  <c r="N62" i="1"/>
  <c r="L62" i="1"/>
  <c r="N88" i="1"/>
  <c r="L88" i="1"/>
  <c r="L32" i="1"/>
  <c r="N32" i="1"/>
  <c r="L59" i="1"/>
  <c r="N59" i="1"/>
  <c r="N64" i="1"/>
  <c r="L64" i="1"/>
  <c r="N69" i="1"/>
  <c r="L69" i="1"/>
  <c r="N57" i="1"/>
  <c r="L57" i="1"/>
  <c r="T109" i="1"/>
  <c r="N15" i="1"/>
  <c r="L15" i="1"/>
  <c r="L24" i="1"/>
  <c r="N24" i="1"/>
  <c r="T13" i="1"/>
  <c r="N30" i="1"/>
  <c r="N65" i="1"/>
  <c r="L65" i="1"/>
  <c r="N71" i="1"/>
  <c r="N89" i="1"/>
  <c r="N51" i="1"/>
  <c r="N16" i="1"/>
  <c r="N25" i="1"/>
  <c r="N31" i="1"/>
  <c r="N81" i="1"/>
  <c r="N98" i="1"/>
  <c r="N78" i="1"/>
  <c r="L78" i="1"/>
  <c r="N63" i="1"/>
  <c r="L35" i="1"/>
  <c r="N70" i="1"/>
  <c r="L70" i="1"/>
  <c r="N87" i="1"/>
  <c r="N58" i="1"/>
  <c r="N96" i="1"/>
  <c r="N109" i="1"/>
  <c r="T37" i="1"/>
  <c r="N26" i="1"/>
  <c r="L26" i="1"/>
  <c r="N91" i="1"/>
  <c r="L91" i="1"/>
  <c r="L56" i="1"/>
  <c r="N61" i="1"/>
  <c r="L61" i="1"/>
  <c r="N76" i="1"/>
  <c r="N104" i="1"/>
  <c r="L104" i="1"/>
  <c r="N83" i="1"/>
  <c r="N110" i="1"/>
  <c r="T121" i="1"/>
  <c r="U121" i="1" s="1"/>
  <c r="L110" i="1"/>
  <c r="L22" i="1"/>
  <c r="N34" i="1"/>
  <c r="N74" i="1"/>
  <c r="U83" i="1"/>
  <c r="N28" i="1"/>
  <c r="L37" i="1"/>
  <c r="N37" i="1"/>
  <c r="L86" i="1"/>
  <c r="T97" i="1"/>
  <c r="N86" i="1"/>
  <c r="N95" i="1"/>
  <c r="L95" i="1"/>
  <c r="N102" i="1"/>
  <c r="N108" i="1"/>
  <c r="L108" i="1"/>
  <c r="N66" i="1"/>
  <c r="N49" i="1"/>
  <c r="N99" i="1"/>
  <c r="L99" i="1"/>
  <c r="N20" i="1"/>
  <c r="L20" i="1"/>
  <c r="N47" i="1"/>
  <c r="N67" i="1"/>
  <c r="N72" i="1"/>
  <c r="L84" i="1"/>
  <c r="N23" i="1"/>
  <c r="N29" i="1"/>
  <c r="L112" i="1"/>
  <c r="N112" i="1"/>
  <c r="N79" i="1"/>
  <c r="N100" i="1"/>
  <c r="N106" i="1"/>
  <c r="N45" i="1"/>
  <c r="N33" i="1"/>
  <c r="L33" i="1"/>
  <c r="N39" i="1"/>
  <c r="L39" i="1"/>
  <c r="T61" i="1"/>
  <c r="U61" i="1" s="1"/>
  <c r="N50" i="1"/>
  <c r="N85" i="1"/>
  <c r="L97" i="1"/>
  <c r="N113" i="1"/>
  <c r="L31" i="1"/>
  <c r="L47" i="1"/>
  <c r="L63" i="1"/>
  <c r="L76" i="1"/>
  <c r="L83" i="1"/>
  <c r="L89" i="1"/>
  <c r="L93" i="1"/>
  <c r="L102" i="1"/>
  <c r="L106" i="1"/>
  <c r="U97" i="1" l="1"/>
  <c r="U49" i="1"/>
  <c r="U37" i="1"/>
  <c r="U109" i="1"/>
  <c r="U73" i="1"/>
</calcChain>
</file>

<file path=xl/sharedStrings.xml><?xml version="1.0" encoding="utf-8"?>
<sst xmlns="http://schemas.openxmlformats.org/spreadsheetml/2006/main" count="168" uniqueCount="33">
  <si>
    <t>data calcolata</t>
  </si>
  <si>
    <t>DATA</t>
  </si>
  <si>
    <t>ANNO</t>
  </si>
  <si>
    <t>MESE</t>
  </si>
  <si>
    <t>NOME</t>
  </si>
  <si>
    <t>Diarias</t>
  </si>
  <si>
    <t>A&amp;B</t>
  </si>
  <si>
    <t>Spa</t>
  </si>
  <si>
    <t>Outros</t>
  </si>
  <si>
    <t>Total (Net sales)</t>
  </si>
  <si>
    <t>Taxas (ISS, servicos)</t>
  </si>
  <si>
    <t>Imposta %</t>
  </si>
  <si>
    <t>Total (gross taxes)</t>
  </si>
  <si>
    <t>Var % anno su precedente</t>
  </si>
  <si>
    <t>Diaria media</t>
  </si>
  <si>
    <t>n. diarie</t>
  </si>
  <si>
    <t>% occup.</t>
  </si>
  <si>
    <t>Commenti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</si>
  <si>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</si>
  <si>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</si>
  <si>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</si>
  <si>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</si>
  <si>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</si>
  <si>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</si>
  <si>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</si>
  <si>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</si>
  <si>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</si>
  <si>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</si>
  <si>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</si>
  <si>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</si>
  <si>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Occupazione media annua</t>
  </si>
  <si>
    <t>n/a</t>
  </si>
  <si>
    <t>CHIUSO  PER COVID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</si>
</sst>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[$R$-416]#,##0.00;[Red]\-[$R$-416]#,##0.0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9" fontId="3" fillId="0" borderId="0" applyFont="0" applyFill="0" applyBorder="0" applyAlignment="0" applyProtection="0"/>
  </cellStyleXfs>
  <cellXfs count="75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10" fontId="2" fillId="2" borderId="1" xfId="1" applyNumberFormat="1" applyFont="1" applyFill="1" applyBorder="1" applyAlignment="1">
      <alignment horizontal="center" vertical="center" wrapText="1"/>
    </xf>
    <xf numFmtId="0" fontId="2" fillId="0" borderId="0" xfId="0" applyFont="1"/>
    <xf numFmtId="10" fontId="2" fillId="0" borderId="0" xfId="0" applyNumberFormat="1" applyFont="1" applyAlignment="1">
      <alignment horizontal="center"/>
    </xf>
    <xf numFmtId="0" fontId="0" fillId="0" borderId="2" xfId="0" applyBorder="1"/>
    <xf numFmtId="14" fontId="0" fillId="2" borderId="0" xfId="0" applyNumberFormat="1" applyFill="1"/>
    <xf numFmtId="14" fontId="3" fillId="0" borderId="3" xfId="1" applyNumberFormat="1" applyBorder="1" applyAlignment="1">
      <alignment horizontal="center"/>
    </xf>
    <xf numFmtId="0" fontId="3" fillId="2" borderId="3" xfId="1" applyFill="1" applyBorder="1" applyAlignment="1">
      <alignment horizontal="center"/>
    </xf>
    <xf numFmtId="164" fontId="3" fillId="0" borderId="3" xfId="1" applyNumberFormat="1" applyBorder="1"/>
    <xf numFmtId="164" fontId="3" fillId="2" borderId="3" xfId="1" applyNumberFormat="1" applyFill="1" applyBorder="1"/>
    <xf numFmtId="10" fontId="0" fillId="2" borderId="3" xfId="0" applyNumberFormat="1" applyFill="1" applyBorder="1" applyAlignment="1">
      <alignment horizontal="center"/>
    </xf>
    <xf numFmtId="165" fontId="3" fillId="0" borderId="3" xfId="1" applyNumberFormat="1" applyBorder="1"/>
    <xf numFmtId="1" fontId="3" fillId="0" borderId="3" xfId="2" applyNumberFormat="1" applyFont="1" applyFill="1" applyBorder="1" applyAlignment="1">
      <alignment horizontal="center"/>
    </xf>
    <xf numFmtId="10" fontId="3" fillId="0" borderId="3" xfId="2" applyNumberFormat="1" applyFont="1" applyFill="1" applyBorder="1" applyAlignment="1">
      <alignment horizontal="center"/>
    </xf>
    <xf numFmtId="0" fontId="3" fillId="0" borderId="3" xfId="1" applyBorder="1"/>
    <xf numFmtId="0" fontId="3" fillId="0" borderId="4" xfId="1" applyBorder="1"/>
    <xf numFmtId="0" fontId="4" fillId="0" borderId="0" xfId="1" applyFont="1"/>
    <xf numFmtId="10" fontId="4" fillId="0" borderId="0" xfId="1" applyNumberFormat="1" applyFont="1" applyAlignment="1">
      <alignment horizontal="center"/>
    </xf>
    <xf numFmtId="0" fontId="3" fillId="0" borderId="0" xfId="1"/>
    <xf numFmtId="0" fontId="3" fillId="0" borderId="2" xfId="1" applyBorder="1"/>
    <xf numFmtId="14" fontId="3" fillId="0" borderId="4" xfId="1" applyNumberFormat="1" applyBorder="1" applyAlignment="1">
      <alignment horizontal="center"/>
    </xf>
    <xf numFmtId="0" fontId="3" fillId="2" borderId="4" xfId="1" applyFill="1" applyBorder="1" applyAlignment="1">
      <alignment horizontal="center"/>
    </xf>
    <xf numFmtId="164" fontId="3" fillId="0" borderId="4" xfId="1" applyNumberFormat="1" applyBorder="1"/>
    <xf numFmtId="164" fontId="3" fillId="2" borderId="4" xfId="1" applyNumberFormat="1" applyFill="1" applyBorder="1"/>
    <xf numFmtId="10" fontId="0" fillId="2" borderId="4" xfId="0" applyNumberFormat="1" applyFill="1" applyBorder="1" applyAlignment="1">
      <alignment horizontal="center"/>
    </xf>
    <xf numFmtId="165" fontId="3" fillId="0" borderId="4" xfId="1" applyNumberFormat="1" applyBorder="1"/>
    <xf numFmtId="1" fontId="3" fillId="0" borderId="4" xfId="2" applyNumberFormat="1" applyFont="1" applyFill="1" applyBorder="1" applyAlignment="1">
      <alignment horizontal="center"/>
    </xf>
    <xf numFmtId="10" fontId="3" fillId="0" borderId="4" xfId="2" applyNumberFormat="1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3" fillId="0" borderId="5" xfId="1" applyBorder="1"/>
    <xf numFmtId="14" fontId="0" fillId="2" borderId="6" xfId="0" applyNumberFormat="1" applyFill="1" applyBorder="1"/>
    <xf numFmtId="14" fontId="3" fillId="0" borderId="7" xfId="1" applyNumberFormat="1" applyBorder="1" applyAlignment="1">
      <alignment horizontal="center"/>
    </xf>
    <xf numFmtId="0" fontId="3" fillId="2" borderId="7" xfId="1" applyFill="1" applyBorder="1" applyAlignment="1">
      <alignment horizontal="center"/>
    </xf>
    <xf numFmtId="164" fontId="3" fillId="0" borderId="7" xfId="1" applyNumberFormat="1" applyBorder="1"/>
    <xf numFmtId="164" fontId="3" fillId="2" borderId="7" xfId="1" applyNumberFormat="1" applyFill="1" applyBorder="1"/>
    <xf numFmtId="10" fontId="0" fillId="2" borderId="7" xfId="0" applyNumberFormat="1" applyFill="1" applyBorder="1" applyAlignment="1">
      <alignment horizontal="center"/>
    </xf>
    <xf numFmtId="165" fontId="3" fillId="0" borderId="7" xfId="1" applyNumberFormat="1" applyBorder="1"/>
    <xf numFmtId="1" fontId="3" fillId="0" borderId="7" xfId="2" applyNumberFormat="1" applyFont="1" applyFill="1" applyBorder="1" applyAlignment="1">
      <alignment horizontal="center"/>
    </xf>
    <xf numFmtId="10" fontId="3" fillId="0" borderId="7" xfId="2" applyNumberFormat="1" applyFont="1" applyFill="1" applyBorder="1" applyAlignment="1">
      <alignment horizontal="center"/>
    </xf>
    <xf numFmtId="0" fontId="3" fillId="0" borderId="8" xfId="1" applyBorder="1"/>
    <xf numFmtId="0" fontId="3" fillId="0" borderId="7" xfId="1" applyBorder="1"/>
    <xf numFmtId="164" fontId="2" fillId="2" borderId="9" xfId="0" applyNumberFormat="1" applyFont="1" applyFill="1" applyBorder="1" applyAlignment="1">
      <alignment horizontal="right"/>
    </xf>
    <xf numFmtId="10" fontId="2" fillId="2" borderId="9" xfId="0" applyNumberFormat="1" applyFont="1" applyFill="1" applyBorder="1" applyAlignment="1">
      <alignment horizontal="center"/>
    </xf>
    <xf numFmtId="1" fontId="2" fillId="2" borderId="9" xfId="0" applyNumberFormat="1" applyFont="1" applyFill="1" applyBorder="1" applyAlignment="1">
      <alignment horizontal="center"/>
    </xf>
    <xf numFmtId="0" fontId="3" fillId="0" borderId="6" xfId="1" applyBorder="1"/>
    <xf numFmtId="0" fontId="3" fillId="0" borderId="10" xfId="1" applyBorder="1"/>
    <xf numFmtId="0" fontId="0" fillId="0" borderId="4" xfId="0" applyBorder="1"/>
    <xf numFmtId="10" fontId="1" fillId="2" borderId="4" xfId="0" applyNumberFormat="1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164" fontId="2" fillId="2" borderId="9" xfId="0" applyNumberFormat="1" applyFont="1" applyFill="1" applyBorder="1" applyAlignment="1">
      <alignment horizontal="center"/>
    </xf>
    <xf numFmtId="0" fontId="0" fillId="0" borderId="8" xfId="0" applyBorder="1"/>
    <xf numFmtId="0" fontId="0" fillId="0" borderId="7" xfId="0" applyBorder="1"/>
    <xf numFmtId="0" fontId="0" fillId="0" borderId="6" xfId="0" applyBorder="1"/>
    <xf numFmtId="0" fontId="0" fillId="0" borderId="10" xfId="0" applyBorder="1"/>
    <xf numFmtId="14" fontId="0" fillId="2" borderId="4" xfId="0" applyNumberFormat="1" applyFill="1" applyBorder="1"/>
    <xf numFmtId="14" fontId="0" fillId="2" borderId="7" xfId="0" applyNumberFormat="1" applyFill="1" applyBorder="1"/>
    <xf numFmtId="0" fontId="0" fillId="3" borderId="4" xfId="0" applyFill="1" applyBorder="1"/>
    <xf numFmtId="0" fontId="0" fillId="0" borderId="5" xfId="0" applyBorder="1"/>
    <xf numFmtId="10" fontId="5" fillId="2" borderId="9" xfId="0" applyNumberFormat="1" applyFont="1" applyFill="1" applyBorder="1" applyAlignment="1">
      <alignment horizontal="center"/>
    </xf>
    <xf numFmtId="10" fontId="1" fillId="2" borderId="7" xfId="0" applyNumberFormat="1" applyFont="1" applyFill="1" applyBorder="1" applyAlignment="1">
      <alignment horizontal="center"/>
    </xf>
    <xf numFmtId="10" fontId="3" fillId="0" borderId="5" xfId="2" applyNumberFormat="1" applyFont="1" applyFill="1" applyBorder="1" applyAlignment="1">
      <alignment horizontal="center"/>
    </xf>
    <xf numFmtId="164" fontId="3" fillId="0" borderId="8" xfId="1" applyNumberFormat="1" applyBorder="1"/>
    <xf numFmtId="10" fontId="3" fillId="0" borderId="8" xfId="2" applyNumberFormat="1" applyFont="1" applyFill="1" applyBorder="1" applyAlignment="1">
      <alignment horizontal="center"/>
    </xf>
    <xf numFmtId="14" fontId="3" fillId="0" borderId="5" xfId="1" applyNumberFormat="1" applyBorder="1" applyAlignment="1">
      <alignment horizontal="center"/>
    </xf>
    <xf numFmtId="1" fontId="3" fillId="0" borderId="5" xfId="2" applyNumberFormat="1" applyFont="1" applyFill="1" applyBorder="1" applyAlignment="1">
      <alignment horizontal="center"/>
    </xf>
    <xf numFmtId="0" fontId="3" fillId="2" borderId="5" xfId="1" applyFill="1" applyBorder="1" applyAlignment="1">
      <alignment horizontal="center"/>
    </xf>
    <xf numFmtId="10" fontId="6" fillId="2" borderId="4" xfId="0" applyNumberFormat="1" applyFont="1" applyFill="1" applyBorder="1" applyAlignment="1">
      <alignment horizontal="center"/>
    </xf>
    <xf numFmtId="14" fontId="3" fillId="0" borderId="8" xfId="1" applyNumberFormat="1" applyBorder="1" applyAlignment="1">
      <alignment horizontal="center"/>
    </xf>
    <xf numFmtId="0" fontId="3" fillId="2" borderId="8" xfId="1" applyFill="1" applyBorder="1" applyAlignment="1">
      <alignment horizontal="center"/>
    </xf>
    <xf numFmtId="1" fontId="3" fillId="0" borderId="8" xfId="2" applyNumberFormat="1" applyFont="1" applyFill="1" applyBorder="1" applyAlignment="1">
      <alignment horizontal="center"/>
    </xf>
    <xf numFmtId="10" fontId="7" fillId="2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/>
  </cellXfs>
  <cellStyles count="3">
    <cellStyle name="Normal 2" xfId="1" xr:uid="{CCD76A6B-68B3-4BBE-AB40-16FCBFC6F823}"/>
    <cellStyle name="Normale" xfId="0" builtinId="0"/>
    <cellStyle name="Percent 2" xfId="2" xr:uid="{14F17EFC-A1E3-4093-969F-1B5CA78DE294}"/>
  </cellStyles>
  <dxfs count="2">
    <dxf>
      <font>
        <color rgb="FFFF0000"/>
      </font>
    </dxf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BRASILE%20-%20SPA%20ARCOIRIS\3%20-%20Movimento%20Financiero\SPA%20DASHBOARD%20SOMBRA%202026.xlsm" TargetMode="External"/><Relationship Id="rId1" Type="http://schemas.openxmlformats.org/officeDocument/2006/relationships/externalLinkPath" Target="file:///E:\BRASILE%20-%20SPA%20ARCOIRIS\3%20-%20Movimento%20Financiero\SPA%20DASHBOARD%20SOMBRA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TTURATO LAST 4"/>
      <sheetName val="DET FATT"/>
      <sheetName val="FATTURATO TOT"/>
      <sheetName val="COMPARATORE"/>
      <sheetName val="DASHBOARD"/>
      <sheetName val="NET SALES"/>
      <sheetName val="DATABASE TOT"/>
    </sheetNames>
    <sheetDataSet>
      <sheetData sheetId="0"/>
      <sheetData sheetId="1">
        <row r="5">
          <cell r="AG5">
            <v>2025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51982-5812-4B24-9970-F75DD31089C3}">
  <sheetPr codeName="Sheet11"/>
  <dimension ref="A1:X121"/>
  <sheetViews>
    <sheetView tabSelected="1" workbookViewId="0">
      <pane ySplit="1" topLeftCell="A92" activePane="bottomLeft" state="frozen"/>
      <selection pane="bottomLeft" activeCell="Q119" sqref="Q119"/>
    </sheetView>
  </sheetViews>
  <sheetFormatPr defaultColWidth="9.140625" defaultRowHeight="15" x14ac:dyDescent="0.25"/>
  <cols>
    <col min="1" max="1" width="10.42578125" bestFit="1" customWidth="1"/>
    <col min="2" max="2" width="12.140625" style="73" customWidth="1"/>
    <col min="3" max="5" width="7.140625" customWidth="1"/>
    <col min="6" max="6" width="14.85546875" bestFit="1" customWidth="1"/>
    <col min="7" max="7" width="13.140625" bestFit="1" customWidth="1"/>
    <col min="8" max="8" width="14.85546875" bestFit="1" customWidth="1"/>
    <col min="9" max="9" width="12" bestFit="1" customWidth="1"/>
    <col min="10" max="10" width="14.85546875" bestFit="1" customWidth="1"/>
    <col min="11" max="11" width="12" bestFit="1" customWidth="1"/>
    <col min="12" max="12" width="8.140625" style="74" customWidth="1"/>
    <col min="13" max="13" width="14.85546875" bestFit="1" customWidth="1"/>
    <col min="14" max="14" width="11.85546875" style="74" customWidth="1"/>
    <col min="15" max="15" width="11.28515625" customWidth="1"/>
    <col min="16" max="16" width="8.140625" bestFit="1" customWidth="1"/>
    <col min="18" max="18" width="21" customWidth="1"/>
    <col min="19" max="19" width="3.140625" customWidth="1"/>
    <col min="20" max="20" width="16.5703125" style="3" bestFit="1" customWidth="1"/>
    <col min="21" max="21" width="11.140625" style="4" bestFit="1" customWidth="1"/>
    <col min="22" max="22" width="6.7109375" customWidth="1"/>
    <col min="24" max="24" width="15.42578125" customWidth="1"/>
  </cols>
  <sheetData>
    <row r="1" spans="1:24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X1" s="5"/>
    </row>
    <row r="2" spans="1:24" x14ac:dyDescent="0.25">
      <c r="A2" s="6">
        <f>DATE(C2,D2,1)</f>
        <v>42736</v>
      </c>
      <c r="B2" s="7">
        <v>42736</v>
      </c>
      <c r="C2" s="8">
        <v>2017</v>
      </c>
      <c r="D2" s="8">
        <v>1</v>
      </c>
      <c r="E2" s="8" t="s">
        <v>18</v>
      </c>
      <c r="F2" s="9">
        <v>461859.53</v>
      </c>
      <c r="G2" s="9">
        <v>0</v>
      </c>
      <c r="H2" s="9">
        <v>-1.3400000000001455</v>
      </c>
      <c r="I2" s="9">
        <v>0</v>
      </c>
      <c r="J2" s="10">
        <f>SUM(F2:I2)</f>
        <v>461858.19</v>
      </c>
      <c r="K2" s="9">
        <v>21529.31</v>
      </c>
      <c r="L2" s="11">
        <f>IF(K2=0,"",K2/M2)</f>
        <v>4.4538408626619432E-2</v>
      </c>
      <c r="M2" s="10">
        <f>SUM(J2:K2)</f>
        <v>483387.5</v>
      </c>
      <c r="N2" s="11"/>
      <c r="O2" s="12"/>
      <c r="P2" s="13"/>
      <c r="Q2" s="14"/>
      <c r="R2" s="15"/>
      <c r="S2" s="16"/>
      <c r="T2" s="17"/>
      <c r="U2" s="18"/>
      <c r="V2" s="19"/>
      <c r="W2" s="19"/>
      <c r="X2" s="20"/>
    </row>
    <row r="3" spans="1:24" x14ac:dyDescent="0.25">
      <c r="A3" s="6">
        <f t="shared" ref="A3:A66" si="0">DATE(C3,D3,1)</f>
        <v>42767</v>
      </c>
      <c r="B3" s="21">
        <v>42767</v>
      </c>
      <c r="C3" s="22">
        <v>2017</v>
      </c>
      <c r="D3" s="22">
        <v>2</v>
      </c>
      <c r="E3" s="22" t="s">
        <v>19</v>
      </c>
      <c r="F3" s="23">
        <v>207388.21999999997</v>
      </c>
      <c r="G3" s="23">
        <v>0</v>
      </c>
      <c r="H3" s="23">
        <v>7976.8300000000017</v>
      </c>
      <c r="I3" s="23">
        <v>0</v>
      </c>
      <c r="J3" s="24">
        <f t="shared" ref="J3:J66" si="1">SUM(F3:I3)</f>
        <v>215365.05</v>
      </c>
      <c r="K3" s="23">
        <v>9824.39</v>
      </c>
      <c r="L3" s="25">
        <f t="shared" ref="L3:L66" si="2">IF(K3=0,"",K3/M3)</f>
        <v>4.3627223372463643E-2</v>
      </c>
      <c r="M3" s="24">
        <f t="shared" ref="M3:M66" si="3">SUM(J3:K3)</f>
        <v>225189.44</v>
      </c>
      <c r="N3" s="25"/>
      <c r="O3" s="26"/>
      <c r="P3" s="27"/>
      <c r="Q3" s="28"/>
      <c r="R3" s="16"/>
      <c r="S3" s="16"/>
      <c r="T3" s="17"/>
      <c r="U3" s="18"/>
      <c r="V3" s="19"/>
      <c r="W3" s="19"/>
      <c r="X3" s="20"/>
    </row>
    <row r="4" spans="1:24" x14ac:dyDescent="0.25">
      <c r="A4" s="6">
        <f t="shared" si="0"/>
        <v>42795</v>
      </c>
      <c r="B4" s="21">
        <v>42795</v>
      </c>
      <c r="C4" s="22">
        <v>2017</v>
      </c>
      <c r="D4" s="22">
        <v>3</v>
      </c>
      <c r="E4" s="22" t="s">
        <v>20</v>
      </c>
      <c r="F4" s="23">
        <v>171107.79</v>
      </c>
      <c r="G4" s="23">
        <v>0</v>
      </c>
      <c r="H4" s="23">
        <v>42450.65</v>
      </c>
      <c r="I4" s="23">
        <v>0</v>
      </c>
      <c r="J4" s="24">
        <f t="shared" si="1"/>
        <v>213558.44</v>
      </c>
      <c r="K4" s="23">
        <v>8857.65</v>
      </c>
      <c r="L4" s="25">
        <f t="shared" si="2"/>
        <v>3.9824681748519185E-2</v>
      </c>
      <c r="M4" s="24">
        <f t="shared" si="3"/>
        <v>222416.09</v>
      </c>
      <c r="N4" s="25"/>
      <c r="O4" s="26"/>
      <c r="P4" s="27"/>
      <c r="Q4" s="28"/>
      <c r="R4" s="16"/>
      <c r="S4" s="16"/>
      <c r="T4" s="17"/>
      <c r="U4" s="18"/>
      <c r="V4" s="19"/>
      <c r="W4" s="19"/>
      <c r="X4" s="20"/>
    </row>
    <row r="5" spans="1:24" x14ac:dyDescent="0.25">
      <c r="A5" s="6">
        <f t="shared" si="0"/>
        <v>42826</v>
      </c>
      <c r="B5" s="21">
        <v>42826</v>
      </c>
      <c r="C5" s="22">
        <v>2017</v>
      </c>
      <c r="D5" s="22">
        <v>4</v>
      </c>
      <c r="E5" s="22" t="s">
        <v>21</v>
      </c>
      <c r="F5" s="23">
        <v>198372.99</v>
      </c>
      <c r="G5" s="23">
        <v>0</v>
      </c>
      <c r="H5" s="23">
        <v>13394.699999999999</v>
      </c>
      <c r="I5" s="23">
        <v>0</v>
      </c>
      <c r="J5" s="24">
        <f t="shared" si="1"/>
        <v>211767.69</v>
      </c>
      <c r="K5" s="23">
        <v>10011.4</v>
      </c>
      <c r="L5" s="25">
        <f t="shared" si="2"/>
        <v>4.5141316072673937E-2</v>
      </c>
      <c r="M5" s="24">
        <f t="shared" si="3"/>
        <v>221779.09</v>
      </c>
      <c r="N5" s="25"/>
      <c r="O5" s="26"/>
      <c r="P5" s="27"/>
      <c r="Q5" s="28"/>
      <c r="R5" s="16"/>
      <c r="S5" s="16"/>
      <c r="T5" s="17"/>
      <c r="U5" s="18"/>
      <c r="V5" s="19"/>
      <c r="W5" s="19"/>
      <c r="X5" s="20"/>
    </row>
    <row r="6" spans="1:24" x14ac:dyDescent="0.25">
      <c r="A6" s="6">
        <f t="shared" si="0"/>
        <v>42856</v>
      </c>
      <c r="B6" s="21">
        <v>42856</v>
      </c>
      <c r="C6" s="22">
        <v>2017</v>
      </c>
      <c r="D6" s="22">
        <v>5</v>
      </c>
      <c r="E6" s="22" t="s">
        <v>22</v>
      </c>
      <c r="F6" s="23">
        <v>87180.97</v>
      </c>
      <c r="G6" s="23">
        <v>0</v>
      </c>
      <c r="H6" s="23">
        <v>8302.380000000001</v>
      </c>
      <c r="I6" s="23">
        <v>0</v>
      </c>
      <c r="J6" s="24">
        <f t="shared" si="1"/>
        <v>95483.35</v>
      </c>
      <c r="K6" s="23">
        <v>3996.56</v>
      </c>
      <c r="L6" s="25">
        <f t="shared" si="2"/>
        <v>4.0174543784770207E-2</v>
      </c>
      <c r="M6" s="24">
        <f t="shared" si="3"/>
        <v>99479.91</v>
      </c>
      <c r="N6" s="25"/>
      <c r="O6" s="26"/>
      <c r="P6" s="27"/>
      <c r="Q6" s="28"/>
      <c r="R6" s="16"/>
      <c r="S6" s="16"/>
      <c r="T6" s="17"/>
      <c r="U6" s="18"/>
      <c r="V6" s="19"/>
      <c r="W6" s="19"/>
      <c r="X6" s="20"/>
    </row>
    <row r="7" spans="1:24" x14ac:dyDescent="0.25">
      <c r="A7" s="6">
        <f t="shared" si="0"/>
        <v>42887</v>
      </c>
      <c r="B7" s="21">
        <v>42887</v>
      </c>
      <c r="C7" s="22">
        <v>2017</v>
      </c>
      <c r="D7" s="22">
        <v>6</v>
      </c>
      <c r="E7" s="22" t="s">
        <v>23</v>
      </c>
      <c r="F7" s="23">
        <v>126622.03000000001</v>
      </c>
      <c r="G7" s="23">
        <v>0</v>
      </c>
      <c r="H7" s="23">
        <v>16996.669999999998</v>
      </c>
      <c r="I7" s="23">
        <v>0</v>
      </c>
      <c r="J7" s="24">
        <f t="shared" si="1"/>
        <v>143618.70000000001</v>
      </c>
      <c r="K7" s="23">
        <v>5231.3599999999997</v>
      </c>
      <c r="L7" s="25">
        <f t="shared" si="2"/>
        <v>3.5145165544441165E-2</v>
      </c>
      <c r="M7" s="24">
        <f t="shared" si="3"/>
        <v>148850.06</v>
      </c>
      <c r="N7" s="25"/>
      <c r="O7" s="26"/>
      <c r="P7" s="27"/>
      <c r="Q7" s="28"/>
      <c r="R7" s="16"/>
      <c r="S7" s="16"/>
      <c r="U7" s="29"/>
      <c r="V7" s="19"/>
      <c r="W7" s="19"/>
      <c r="X7" s="20"/>
    </row>
    <row r="8" spans="1:24" x14ac:dyDescent="0.25">
      <c r="A8" s="6">
        <f t="shared" si="0"/>
        <v>42917</v>
      </c>
      <c r="B8" s="21">
        <v>42917</v>
      </c>
      <c r="C8" s="22">
        <v>2017</v>
      </c>
      <c r="D8" s="22">
        <v>7</v>
      </c>
      <c r="E8" s="22" t="s">
        <v>24</v>
      </c>
      <c r="F8" s="23">
        <v>226045.45</v>
      </c>
      <c r="G8" s="23">
        <v>0</v>
      </c>
      <c r="H8" s="23">
        <v>543.61000000000058</v>
      </c>
      <c r="I8" s="23">
        <v>0</v>
      </c>
      <c r="J8" s="24">
        <f t="shared" si="1"/>
        <v>226589.06</v>
      </c>
      <c r="K8" s="23">
        <v>11317.26</v>
      </c>
      <c r="L8" s="25">
        <f t="shared" si="2"/>
        <v>4.7570236889881698E-2</v>
      </c>
      <c r="M8" s="24">
        <f t="shared" si="3"/>
        <v>237906.32</v>
      </c>
      <c r="N8" s="25"/>
      <c r="O8" s="26"/>
      <c r="P8" s="27"/>
      <c r="Q8" s="28"/>
      <c r="R8" s="16"/>
      <c r="S8" s="16"/>
      <c r="T8" s="30"/>
      <c r="U8" s="18"/>
      <c r="V8" s="19"/>
      <c r="W8" s="19"/>
      <c r="X8" s="20"/>
    </row>
    <row r="9" spans="1:24" x14ac:dyDescent="0.25">
      <c r="A9" s="6">
        <f t="shared" si="0"/>
        <v>42948</v>
      </c>
      <c r="B9" s="21">
        <v>42948</v>
      </c>
      <c r="C9" s="22">
        <v>2017</v>
      </c>
      <c r="D9" s="22">
        <v>8</v>
      </c>
      <c r="E9" s="22" t="s">
        <v>25</v>
      </c>
      <c r="F9" s="23">
        <v>192731.38</v>
      </c>
      <c r="G9" s="23">
        <v>0</v>
      </c>
      <c r="H9" s="23">
        <v>12619.400000000001</v>
      </c>
      <c r="I9" s="23">
        <v>0</v>
      </c>
      <c r="J9" s="24">
        <f t="shared" si="1"/>
        <v>205350.78</v>
      </c>
      <c r="K9" s="23">
        <v>9749.57</v>
      </c>
      <c r="L9" s="25">
        <f t="shared" si="2"/>
        <v>4.532568171088517E-2</v>
      </c>
      <c r="M9" s="24">
        <f t="shared" si="3"/>
        <v>215100.35</v>
      </c>
      <c r="N9" s="25"/>
      <c r="O9" s="26"/>
      <c r="P9" s="27"/>
      <c r="Q9" s="28"/>
      <c r="R9" s="16"/>
      <c r="S9" s="16"/>
      <c r="T9" s="17"/>
      <c r="U9" s="18"/>
      <c r="V9" s="19"/>
      <c r="W9" s="19"/>
      <c r="X9" s="20"/>
    </row>
    <row r="10" spans="1:24" x14ac:dyDescent="0.25">
      <c r="A10" s="6">
        <f t="shared" si="0"/>
        <v>42979</v>
      </c>
      <c r="B10" s="21">
        <v>42979</v>
      </c>
      <c r="C10" s="22">
        <v>2017</v>
      </c>
      <c r="D10" s="22">
        <v>9</v>
      </c>
      <c r="E10" s="22" t="s">
        <v>26</v>
      </c>
      <c r="F10" s="23">
        <v>208593.06000000003</v>
      </c>
      <c r="G10" s="23">
        <v>0</v>
      </c>
      <c r="H10" s="23">
        <v>10780.24</v>
      </c>
      <c r="I10" s="23">
        <v>0</v>
      </c>
      <c r="J10" s="24">
        <f t="shared" si="1"/>
        <v>219373.30000000002</v>
      </c>
      <c r="K10" s="23">
        <v>10590.62</v>
      </c>
      <c r="L10" s="25">
        <f t="shared" si="2"/>
        <v>4.6053398289609956E-2</v>
      </c>
      <c r="M10" s="24">
        <f t="shared" si="3"/>
        <v>229963.92</v>
      </c>
      <c r="N10" s="25"/>
      <c r="O10" s="26"/>
      <c r="P10" s="27"/>
      <c r="Q10" s="28"/>
      <c r="R10" s="16"/>
      <c r="S10" s="16"/>
      <c r="T10" s="17"/>
      <c r="U10" s="18"/>
      <c r="V10" s="19"/>
      <c r="W10" s="19"/>
      <c r="X10" s="20"/>
    </row>
    <row r="11" spans="1:24" x14ac:dyDescent="0.25">
      <c r="A11" s="6">
        <f t="shared" si="0"/>
        <v>43009</v>
      </c>
      <c r="B11" s="21">
        <v>43009</v>
      </c>
      <c r="C11" s="22">
        <v>2017</v>
      </c>
      <c r="D11" s="22">
        <v>10</v>
      </c>
      <c r="E11" s="22" t="s">
        <v>27</v>
      </c>
      <c r="F11" s="23">
        <v>197364.66</v>
      </c>
      <c r="G11" s="23">
        <v>13305.4</v>
      </c>
      <c r="H11" s="23">
        <v>-206.3700000000008</v>
      </c>
      <c r="I11" s="23">
        <v>0</v>
      </c>
      <c r="J11" s="24">
        <f t="shared" si="1"/>
        <v>210463.69</v>
      </c>
      <c r="K11" s="23">
        <v>9888.77</v>
      </c>
      <c r="L11" s="25">
        <f t="shared" si="2"/>
        <v>4.487705741973564E-2</v>
      </c>
      <c r="M11" s="24">
        <f t="shared" si="3"/>
        <v>220352.46</v>
      </c>
      <c r="N11" s="25"/>
      <c r="O11" s="26"/>
      <c r="P11" s="27"/>
      <c r="Q11" s="28"/>
      <c r="R11" s="16"/>
      <c r="S11" s="16"/>
      <c r="T11" s="17"/>
      <c r="U11" s="18"/>
      <c r="V11" s="19"/>
      <c r="W11" s="19"/>
      <c r="X11" s="20"/>
    </row>
    <row r="12" spans="1:24" x14ac:dyDescent="0.25">
      <c r="A12" s="6">
        <f t="shared" si="0"/>
        <v>43040</v>
      </c>
      <c r="B12" s="21">
        <v>43040</v>
      </c>
      <c r="C12" s="22">
        <v>2017</v>
      </c>
      <c r="D12" s="22">
        <v>11</v>
      </c>
      <c r="E12" s="22" t="s">
        <v>28</v>
      </c>
      <c r="F12" s="23">
        <v>232614.52</v>
      </c>
      <c r="G12" s="23">
        <v>30763.1</v>
      </c>
      <c r="H12" s="23">
        <v>13988.1</v>
      </c>
      <c r="I12" s="23">
        <v>0</v>
      </c>
      <c r="J12" s="24">
        <f t="shared" si="1"/>
        <v>277365.71999999997</v>
      </c>
      <c r="K12" s="23">
        <v>11794.15</v>
      </c>
      <c r="L12" s="25">
        <f t="shared" si="2"/>
        <v>4.0787644564925278E-2</v>
      </c>
      <c r="M12" s="24">
        <f t="shared" si="3"/>
        <v>289159.87</v>
      </c>
      <c r="N12" s="25"/>
      <c r="O12" s="26"/>
      <c r="P12" s="27"/>
      <c r="Q12" s="28"/>
      <c r="R12" s="31"/>
      <c r="S12" s="16"/>
      <c r="T12" s="17"/>
      <c r="U12" s="18"/>
      <c r="V12" s="19"/>
      <c r="W12" s="19"/>
      <c r="X12" s="20"/>
    </row>
    <row r="13" spans="1:24" x14ac:dyDescent="0.25">
      <c r="A13" s="32">
        <f t="shared" si="0"/>
        <v>43070</v>
      </c>
      <c r="B13" s="33">
        <v>43070</v>
      </c>
      <c r="C13" s="34">
        <v>2017</v>
      </c>
      <c r="D13" s="34">
        <v>12</v>
      </c>
      <c r="E13" s="34" t="s">
        <v>29</v>
      </c>
      <c r="F13" s="35">
        <v>405408.05</v>
      </c>
      <c r="G13" s="35">
        <v>44072.1</v>
      </c>
      <c r="H13" s="35">
        <v>-1836.6999999999971</v>
      </c>
      <c r="I13" s="35">
        <v>0</v>
      </c>
      <c r="J13" s="36">
        <f t="shared" si="1"/>
        <v>447643.44999999995</v>
      </c>
      <c r="K13" s="35">
        <v>21329.51</v>
      </c>
      <c r="L13" s="37">
        <f t="shared" si="2"/>
        <v>4.5481321567025952E-2</v>
      </c>
      <c r="M13" s="36">
        <f t="shared" si="3"/>
        <v>468972.95999999996</v>
      </c>
      <c r="N13" s="37"/>
      <c r="O13" s="38"/>
      <c r="P13" s="39"/>
      <c r="Q13" s="40"/>
      <c r="R13" s="41"/>
      <c r="S13" s="42"/>
      <c r="T13" s="43">
        <f>SUM(M2:M13)</f>
        <v>3062557.97</v>
      </c>
      <c r="U13" s="44"/>
      <c r="V13" s="45">
        <v>2017</v>
      </c>
      <c r="W13" s="46"/>
      <c r="X13" s="47"/>
    </row>
    <row r="14" spans="1:24" x14ac:dyDescent="0.25">
      <c r="A14" s="6">
        <f t="shared" si="0"/>
        <v>43101</v>
      </c>
      <c r="B14" s="21">
        <v>43101</v>
      </c>
      <c r="C14" s="22">
        <v>2018</v>
      </c>
      <c r="D14" s="22">
        <v>1</v>
      </c>
      <c r="E14" s="22" t="s">
        <v>18</v>
      </c>
      <c r="F14" s="23">
        <v>467421.79000000004</v>
      </c>
      <c r="G14" s="23">
        <v>58238</v>
      </c>
      <c r="H14" s="23">
        <v>29199.140000000003</v>
      </c>
      <c r="I14" s="23">
        <v>0</v>
      </c>
      <c r="J14" s="24">
        <f t="shared" si="1"/>
        <v>554858.93000000005</v>
      </c>
      <c r="K14" s="23">
        <v>23784.87</v>
      </c>
      <c r="L14" s="25">
        <f t="shared" si="2"/>
        <v>4.1104510235830741E-2</v>
      </c>
      <c r="M14" s="24">
        <f t="shared" si="3"/>
        <v>578643.80000000005</v>
      </c>
      <c r="N14" s="25">
        <f>IF(M14=0,0,(M14-M2)/M2)</f>
        <v>0.19705991569910278</v>
      </c>
      <c r="O14" s="26">
        <v>750.28</v>
      </c>
      <c r="P14" s="27">
        <v>623</v>
      </c>
      <c r="Q14" s="28">
        <v>0.7177</v>
      </c>
      <c r="R14" s="48"/>
      <c r="S14" s="48"/>
      <c r="X14" s="5"/>
    </row>
    <row r="15" spans="1:24" x14ac:dyDescent="0.25">
      <c r="A15" s="6">
        <f t="shared" si="0"/>
        <v>43132</v>
      </c>
      <c r="B15" s="21">
        <v>43132</v>
      </c>
      <c r="C15" s="22">
        <v>2018</v>
      </c>
      <c r="D15" s="22">
        <v>2</v>
      </c>
      <c r="E15" s="22" t="s">
        <v>19</v>
      </c>
      <c r="F15" s="23">
        <v>292596.19</v>
      </c>
      <c r="G15" s="23">
        <v>34126</v>
      </c>
      <c r="H15" s="23">
        <v>30240.75</v>
      </c>
      <c r="I15" s="23">
        <v>0</v>
      </c>
      <c r="J15" s="24">
        <f t="shared" si="1"/>
        <v>356962.94</v>
      </c>
      <c r="K15" s="23">
        <v>15332.36</v>
      </c>
      <c r="L15" s="25">
        <f t="shared" si="2"/>
        <v>4.1183329469912731E-2</v>
      </c>
      <c r="M15" s="24">
        <f t="shared" si="3"/>
        <v>372295.3</v>
      </c>
      <c r="N15" s="25">
        <f t="shared" ref="N15:N40" si="4">IF(M15=0,0,(M15-M3)/M3)</f>
        <v>0.65325381154640283</v>
      </c>
      <c r="O15" s="26">
        <v>693.36</v>
      </c>
      <c r="P15" s="27">
        <v>467</v>
      </c>
      <c r="Q15" s="28">
        <v>0.5383</v>
      </c>
      <c r="R15" s="48"/>
      <c r="S15" s="48"/>
      <c r="X15" s="5"/>
    </row>
    <row r="16" spans="1:24" x14ac:dyDescent="0.25">
      <c r="A16" s="6">
        <f t="shared" si="0"/>
        <v>43160</v>
      </c>
      <c r="B16" s="21">
        <v>43160</v>
      </c>
      <c r="C16" s="22">
        <v>2018</v>
      </c>
      <c r="D16" s="22">
        <v>3</v>
      </c>
      <c r="E16" s="22" t="s">
        <v>20</v>
      </c>
      <c r="F16" s="23">
        <v>217840</v>
      </c>
      <c r="G16" s="23">
        <v>26978</v>
      </c>
      <c r="H16" s="23">
        <v>12192</v>
      </c>
      <c r="I16" s="23">
        <v>0</v>
      </c>
      <c r="J16" s="24">
        <f t="shared" si="1"/>
        <v>257010</v>
      </c>
      <c r="K16" s="23">
        <v>11754</v>
      </c>
      <c r="L16" s="25">
        <f t="shared" si="2"/>
        <v>4.3733535741393936E-2</v>
      </c>
      <c r="M16" s="24">
        <f t="shared" si="3"/>
        <v>268764</v>
      </c>
      <c r="N16" s="25">
        <f t="shared" si="4"/>
        <v>0.20838379993102119</v>
      </c>
      <c r="O16" s="26">
        <v>656.15</v>
      </c>
      <c r="P16" s="27">
        <v>361</v>
      </c>
      <c r="Q16" s="28">
        <v>0.41589999999999999</v>
      </c>
      <c r="R16" s="48"/>
      <c r="S16" s="48"/>
      <c r="X16" s="5"/>
    </row>
    <row r="17" spans="1:24" x14ac:dyDescent="0.25">
      <c r="A17" s="6">
        <f t="shared" si="0"/>
        <v>43191</v>
      </c>
      <c r="B17" s="21">
        <v>43191</v>
      </c>
      <c r="C17" s="22">
        <v>2018</v>
      </c>
      <c r="D17" s="22">
        <v>4</v>
      </c>
      <c r="E17" s="22" t="s">
        <v>21</v>
      </c>
      <c r="F17" s="23">
        <v>153622.1</v>
      </c>
      <c r="G17" s="23">
        <v>43243.22</v>
      </c>
      <c r="H17" s="23">
        <v>12892.19</v>
      </c>
      <c r="I17" s="23">
        <v>0</v>
      </c>
      <c r="J17" s="24">
        <f t="shared" si="1"/>
        <v>209757.51</v>
      </c>
      <c r="K17" s="23">
        <v>8014.4</v>
      </c>
      <c r="L17" s="25">
        <f t="shared" si="2"/>
        <v>3.680180790993659E-2</v>
      </c>
      <c r="M17" s="24">
        <f t="shared" si="3"/>
        <v>217771.91</v>
      </c>
      <c r="N17" s="49">
        <f t="shared" si="4"/>
        <v>-1.8068339986425198E-2</v>
      </c>
      <c r="O17" s="26">
        <v>621.95000000000005</v>
      </c>
      <c r="P17" s="27">
        <v>272</v>
      </c>
      <c r="Q17" s="28">
        <v>0.31309999999999999</v>
      </c>
      <c r="R17" s="48"/>
      <c r="S17" s="48"/>
      <c r="X17" s="5"/>
    </row>
    <row r="18" spans="1:24" x14ac:dyDescent="0.25">
      <c r="A18" s="6">
        <f t="shared" si="0"/>
        <v>43221</v>
      </c>
      <c r="B18" s="21">
        <v>43221</v>
      </c>
      <c r="C18" s="22">
        <v>2018</v>
      </c>
      <c r="D18" s="22">
        <v>5</v>
      </c>
      <c r="E18" s="22" t="s">
        <v>22</v>
      </c>
      <c r="F18" s="23">
        <v>100632.01</v>
      </c>
      <c r="G18" s="23">
        <v>18816.73</v>
      </c>
      <c r="H18" s="23">
        <v>6985</v>
      </c>
      <c r="I18" s="23">
        <v>0</v>
      </c>
      <c r="J18" s="24">
        <f t="shared" si="1"/>
        <v>126433.73999999999</v>
      </c>
      <c r="K18" s="23">
        <v>5587.95</v>
      </c>
      <c r="L18" s="25">
        <f t="shared" si="2"/>
        <v>4.2325999614154307E-2</v>
      </c>
      <c r="M18" s="24">
        <f t="shared" si="3"/>
        <v>132021.69</v>
      </c>
      <c r="N18" s="25">
        <f t="shared" si="4"/>
        <v>0.32711911379895697</v>
      </c>
      <c r="O18" s="26">
        <v>528.38</v>
      </c>
      <c r="P18" s="27">
        <v>167</v>
      </c>
      <c r="Q18" s="28">
        <v>0.19223419117647059</v>
      </c>
      <c r="R18" s="48"/>
      <c r="S18" s="48"/>
      <c r="X18" s="5"/>
    </row>
    <row r="19" spans="1:24" x14ac:dyDescent="0.25">
      <c r="A19" s="6">
        <f t="shared" si="0"/>
        <v>43252</v>
      </c>
      <c r="B19" s="21">
        <v>43252</v>
      </c>
      <c r="C19" s="22">
        <v>2018</v>
      </c>
      <c r="D19" s="22">
        <v>6</v>
      </c>
      <c r="E19" s="22" t="s">
        <v>23</v>
      </c>
      <c r="F19" s="23">
        <v>92757.96</v>
      </c>
      <c r="G19" s="23">
        <v>17846.79</v>
      </c>
      <c r="H19" s="23">
        <v>7473.880000000001</v>
      </c>
      <c r="I19" s="23">
        <v>0</v>
      </c>
      <c r="J19" s="24">
        <f t="shared" si="1"/>
        <v>118078.63</v>
      </c>
      <c r="K19" s="23">
        <v>5490.16</v>
      </c>
      <c r="L19" s="25">
        <f t="shared" si="2"/>
        <v>4.4429989158265605E-2</v>
      </c>
      <c r="M19" s="24">
        <f t="shared" si="3"/>
        <v>123568.79000000001</v>
      </c>
      <c r="N19" s="49">
        <f t="shared" si="4"/>
        <v>-0.169843868386751</v>
      </c>
      <c r="O19" s="26">
        <v>548.86</v>
      </c>
      <c r="P19" s="27">
        <v>156</v>
      </c>
      <c r="Q19" s="28">
        <v>0.17957205882352942</v>
      </c>
      <c r="R19" s="48"/>
      <c r="S19" s="48"/>
      <c r="X19" s="5"/>
    </row>
    <row r="20" spans="1:24" x14ac:dyDescent="0.25">
      <c r="A20" s="6">
        <f t="shared" si="0"/>
        <v>43282</v>
      </c>
      <c r="B20" s="21">
        <v>43282</v>
      </c>
      <c r="C20" s="22">
        <v>2018</v>
      </c>
      <c r="D20" s="22">
        <v>7</v>
      </c>
      <c r="E20" s="22" t="s">
        <v>24</v>
      </c>
      <c r="F20" s="23">
        <v>248765</v>
      </c>
      <c r="G20" s="23">
        <v>33536</v>
      </c>
      <c r="H20" s="23">
        <v>15843.06</v>
      </c>
      <c r="I20" s="23">
        <v>0</v>
      </c>
      <c r="J20" s="24">
        <f t="shared" si="1"/>
        <v>298144.06</v>
      </c>
      <c r="K20" s="23">
        <v>15979.63</v>
      </c>
      <c r="L20" s="25">
        <f t="shared" si="2"/>
        <v>5.0870502635442745E-2</v>
      </c>
      <c r="M20" s="24">
        <f t="shared" si="3"/>
        <v>314123.69</v>
      </c>
      <c r="N20" s="25">
        <f t="shared" si="4"/>
        <v>0.32036715123835297</v>
      </c>
      <c r="O20" s="26">
        <v>499.53</v>
      </c>
      <c r="P20" s="27">
        <v>498</v>
      </c>
      <c r="Q20" s="28">
        <v>0.57369999999999999</v>
      </c>
      <c r="R20" s="48"/>
      <c r="S20" s="48"/>
      <c r="X20" s="5"/>
    </row>
    <row r="21" spans="1:24" x14ac:dyDescent="0.25">
      <c r="A21" s="6">
        <f t="shared" si="0"/>
        <v>43313</v>
      </c>
      <c r="B21" s="21">
        <v>43313</v>
      </c>
      <c r="C21" s="22">
        <v>2018</v>
      </c>
      <c r="D21" s="22">
        <v>8</v>
      </c>
      <c r="E21" s="22" t="s">
        <v>25</v>
      </c>
      <c r="F21" s="23">
        <v>205136.21</v>
      </c>
      <c r="G21" s="23">
        <v>27619</v>
      </c>
      <c r="H21" s="23">
        <v>10690</v>
      </c>
      <c r="I21" s="23">
        <v>0</v>
      </c>
      <c r="J21" s="24">
        <f t="shared" si="1"/>
        <v>243445.21</v>
      </c>
      <c r="K21" s="23">
        <v>13222.54</v>
      </c>
      <c r="L21" s="25">
        <f t="shared" si="2"/>
        <v>5.1516172172000579E-2</v>
      </c>
      <c r="M21" s="24">
        <f t="shared" si="3"/>
        <v>256667.75</v>
      </c>
      <c r="N21" s="25">
        <f t="shared" si="4"/>
        <v>0.19324654748353498</v>
      </c>
      <c r="O21" s="26">
        <v>542.69000000000005</v>
      </c>
      <c r="P21" s="27">
        <v>378</v>
      </c>
      <c r="Q21" s="28">
        <v>0.4355</v>
      </c>
      <c r="R21" s="48"/>
      <c r="S21" s="48"/>
      <c r="X21" s="5"/>
    </row>
    <row r="22" spans="1:24" x14ac:dyDescent="0.25">
      <c r="A22" s="6">
        <f t="shared" si="0"/>
        <v>43344</v>
      </c>
      <c r="B22" s="21">
        <v>43344</v>
      </c>
      <c r="C22" s="22">
        <v>2018</v>
      </c>
      <c r="D22" s="22">
        <v>9</v>
      </c>
      <c r="E22" s="22" t="s">
        <v>26</v>
      </c>
      <c r="F22" s="23">
        <v>322459.14</v>
      </c>
      <c r="G22" s="23">
        <v>39585.730000000003</v>
      </c>
      <c r="H22" s="23">
        <v>5668</v>
      </c>
      <c r="I22" s="23">
        <v>0</v>
      </c>
      <c r="J22" s="24">
        <f t="shared" si="1"/>
        <v>367712.87</v>
      </c>
      <c r="K22" s="23">
        <v>19176.45</v>
      </c>
      <c r="L22" s="25">
        <f t="shared" si="2"/>
        <v>4.9565725929058987E-2</v>
      </c>
      <c r="M22" s="24">
        <f t="shared" si="3"/>
        <v>386889.32</v>
      </c>
      <c r="N22" s="25">
        <f t="shared" si="4"/>
        <v>0.68239139426741369</v>
      </c>
      <c r="O22" s="26">
        <v>616.55999999999995</v>
      </c>
      <c r="P22" s="27">
        <v>523</v>
      </c>
      <c r="Q22" s="28">
        <v>0.62260000000000004</v>
      </c>
      <c r="R22" s="48"/>
      <c r="S22" s="48"/>
      <c r="T22" s="50" t="s">
        <v>14</v>
      </c>
      <c r="U22" s="45">
        <f>C14</f>
        <v>2018</v>
      </c>
      <c r="W22" s="3" t="s">
        <v>30</v>
      </c>
      <c r="X22" s="5"/>
    </row>
    <row r="23" spans="1:24" x14ac:dyDescent="0.25">
      <c r="A23" s="6">
        <f t="shared" si="0"/>
        <v>43374</v>
      </c>
      <c r="B23" s="21">
        <v>43374</v>
      </c>
      <c r="C23" s="22">
        <v>2018</v>
      </c>
      <c r="D23" s="22">
        <v>10</v>
      </c>
      <c r="E23" s="22" t="s">
        <v>27</v>
      </c>
      <c r="F23" s="23">
        <v>283446.02</v>
      </c>
      <c r="G23" s="23">
        <v>45397</v>
      </c>
      <c r="H23" s="23">
        <v>6900</v>
      </c>
      <c r="I23" s="23">
        <v>0</v>
      </c>
      <c r="J23" s="24">
        <f t="shared" si="1"/>
        <v>335743.02</v>
      </c>
      <c r="K23" s="23">
        <v>17250.46</v>
      </c>
      <c r="L23" s="25">
        <f t="shared" si="2"/>
        <v>4.8869061264247705E-2</v>
      </c>
      <c r="M23" s="24">
        <f t="shared" si="3"/>
        <v>352993.48000000004</v>
      </c>
      <c r="N23" s="25">
        <f t="shared" si="4"/>
        <v>0.60194934969185299</v>
      </c>
      <c r="O23" s="26">
        <v>579.64</v>
      </c>
      <c r="P23" s="27">
        <v>489</v>
      </c>
      <c r="Q23" s="28">
        <v>0.56340000000000001</v>
      </c>
      <c r="R23" s="48"/>
      <c r="S23" s="48"/>
      <c r="T23" s="51">
        <f>SUM(O14:O25)/12</f>
        <v>628.31500000000005</v>
      </c>
      <c r="U23" s="44"/>
      <c r="W23" s="44">
        <f>AVERAGEIF(Q14:Q25,"&gt;1%")</f>
        <v>0.48922552083333332</v>
      </c>
      <c r="X23" s="5"/>
    </row>
    <row r="24" spans="1:24" x14ac:dyDescent="0.25">
      <c r="A24" s="6">
        <f t="shared" si="0"/>
        <v>43405</v>
      </c>
      <c r="B24" s="21">
        <v>43405</v>
      </c>
      <c r="C24" s="22">
        <v>2018</v>
      </c>
      <c r="D24" s="22">
        <v>11</v>
      </c>
      <c r="E24" s="22" t="s">
        <v>28</v>
      </c>
      <c r="F24" s="23">
        <v>341122.37</v>
      </c>
      <c r="G24" s="23">
        <v>55509.5</v>
      </c>
      <c r="H24" s="23">
        <v>11870</v>
      </c>
      <c r="I24" s="23">
        <v>0</v>
      </c>
      <c r="J24" s="24">
        <f t="shared" si="1"/>
        <v>408501.87</v>
      </c>
      <c r="K24" s="23">
        <v>22472.18</v>
      </c>
      <c r="L24" s="25">
        <f t="shared" si="2"/>
        <v>5.2142768224676173E-2</v>
      </c>
      <c r="M24" s="24">
        <f t="shared" si="3"/>
        <v>430974.05</v>
      </c>
      <c r="N24" s="25">
        <f t="shared" si="4"/>
        <v>0.49043520458077394</v>
      </c>
      <c r="O24" s="26">
        <v>593.26</v>
      </c>
      <c r="P24" s="27">
        <v>575</v>
      </c>
      <c r="Q24" s="28">
        <v>0.6845</v>
      </c>
      <c r="R24" s="48"/>
      <c r="S24" s="48"/>
      <c r="X24" s="5"/>
    </row>
    <row r="25" spans="1:24" x14ac:dyDescent="0.25">
      <c r="A25" s="32">
        <f t="shared" si="0"/>
        <v>43435</v>
      </c>
      <c r="B25" s="33">
        <v>43435</v>
      </c>
      <c r="C25" s="34">
        <v>2018</v>
      </c>
      <c r="D25" s="34">
        <v>12</v>
      </c>
      <c r="E25" s="34" t="s">
        <v>29</v>
      </c>
      <c r="F25" s="35">
        <v>502741.11</v>
      </c>
      <c r="G25" s="35">
        <v>66516.5</v>
      </c>
      <c r="H25" s="35">
        <v>19356.839999999997</v>
      </c>
      <c r="I25" s="35">
        <v>0</v>
      </c>
      <c r="J25" s="36">
        <f t="shared" si="1"/>
        <v>588614.44999999995</v>
      </c>
      <c r="K25" s="35">
        <v>16910.18</v>
      </c>
      <c r="L25" s="37">
        <f t="shared" si="2"/>
        <v>2.7926494088275154E-2</v>
      </c>
      <c r="M25" s="36">
        <f t="shared" si="3"/>
        <v>605524.63</v>
      </c>
      <c r="N25" s="37">
        <f t="shared" si="4"/>
        <v>0.29117173408036157</v>
      </c>
      <c r="O25" s="38">
        <v>909.12</v>
      </c>
      <c r="P25" s="39">
        <v>553</v>
      </c>
      <c r="Q25" s="40">
        <v>0.63419999999999999</v>
      </c>
      <c r="R25" s="52"/>
      <c r="S25" s="53"/>
      <c r="T25" s="43">
        <f>SUM(M14:M25)</f>
        <v>4040238.4099999992</v>
      </c>
      <c r="U25" s="44">
        <f>(T25-T13)/T13</f>
        <v>0.31923654983092414</v>
      </c>
      <c r="V25" s="45">
        <f>V13+1</f>
        <v>2018</v>
      </c>
      <c r="W25" s="54"/>
      <c r="X25" s="55"/>
    </row>
    <row r="26" spans="1:24" x14ac:dyDescent="0.25">
      <c r="A26" s="6">
        <f t="shared" si="0"/>
        <v>43466</v>
      </c>
      <c r="B26" s="21">
        <v>43466</v>
      </c>
      <c r="C26" s="22">
        <v>2019</v>
      </c>
      <c r="D26" s="22">
        <v>1</v>
      </c>
      <c r="E26" s="22" t="s">
        <v>18</v>
      </c>
      <c r="F26" s="23">
        <v>600448.51</v>
      </c>
      <c r="G26" s="23">
        <v>73386.899999999994</v>
      </c>
      <c r="H26" s="23">
        <v>15020</v>
      </c>
      <c r="I26" s="23">
        <v>1121.55</v>
      </c>
      <c r="J26" s="24">
        <f t="shared" si="1"/>
        <v>689976.96000000008</v>
      </c>
      <c r="K26" s="23">
        <v>48249.829999999994</v>
      </c>
      <c r="L26" s="25">
        <f t="shared" si="2"/>
        <v>6.5359088363617895E-2</v>
      </c>
      <c r="M26" s="24">
        <f t="shared" si="3"/>
        <v>738226.79</v>
      </c>
      <c r="N26" s="25">
        <f t="shared" si="4"/>
        <v>0.27578795452400939</v>
      </c>
      <c r="O26" s="26">
        <v>941.14</v>
      </c>
      <c r="P26" s="27">
        <v>638</v>
      </c>
      <c r="Q26" s="28">
        <v>0.68600000000000005</v>
      </c>
      <c r="R26" s="48"/>
      <c r="S26" s="48"/>
      <c r="X26" s="5"/>
    </row>
    <row r="27" spans="1:24" x14ac:dyDescent="0.25">
      <c r="A27" s="6">
        <f t="shared" si="0"/>
        <v>43497</v>
      </c>
      <c r="B27" s="21">
        <v>43497</v>
      </c>
      <c r="C27" s="22">
        <v>2019</v>
      </c>
      <c r="D27" s="22">
        <v>2</v>
      </c>
      <c r="E27" s="22" t="s">
        <v>19</v>
      </c>
      <c r="F27" s="23">
        <v>374279.4</v>
      </c>
      <c r="G27" s="23">
        <v>46267.5</v>
      </c>
      <c r="H27" s="23">
        <v>15410</v>
      </c>
      <c r="I27" s="23">
        <v>0</v>
      </c>
      <c r="J27" s="24">
        <f t="shared" si="1"/>
        <v>435956.9</v>
      </c>
      <c r="K27" s="23">
        <v>23511.32</v>
      </c>
      <c r="L27" s="25">
        <f t="shared" si="2"/>
        <v>5.1170720795444782E-2</v>
      </c>
      <c r="M27" s="24">
        <f t="shared" si="3"/>
        <v>459468.22000000003</v>
      </c>
      <c r="N27" s="25">
        <f t="shared" si="4"/>
        <v>0.23414993420545477</v>
      </c>
      <c r="O27" s="26">
        <v>696.98</v>
      </c>
      <c r="P27" s="27">
        <v>537</v>
      </c>
      <c r="Q27" s="28">
        <v>0.63929999999999998</v>
      </c>
      <c r="R27" s="48"/>
      <c r="S27" s="48"/>
      <c r="X27" s="5"/>
    </row>
    <row r="28" spans="1:24" x14ac:dyDescent="0.25">
      <c r="A28" s="6">
        <f t="shared" si="0"/>
        <v>43525</v>
      </c>
      <c r="B28" s="21">
        <v>43525</v>
      </c>
      <c r="C28" s="22">
        <v>2019</v>
      </c>
      <c r="D28" s="22">
        <v>3</v>
      </c>
      <c r="E28" s="22" t="s">
        <v>20</v>
      </c>
      <c r="F28" s="23">
        <v>292919</v>
      </c>
      <c r="G28" s="23">
        <v>49627.25</v>
      </c>
      <c r="H28" s="23">
        <v>11220</v>
      </c>
      <c r="I28" s="23">
        <v>0</v>
      </c>
      <c r="J28" s="24">
        <f t="shared" si="1"/>
        <v>353766.25</v>
      </c>
      <c r="K28" s="23">
        <v>19762.05</v>
      </c>
      <c r="L28" s="25">
        <f t="shared" si="2"/>
        <v>5.2906433060092101E-2</v>
      </c>
      <c r="M28" s="24">
        <f t="shared" si="3"/>
        <v>373528.3</v>
      </c>
      <c r="N28" s="25">
        <f t="shared" si="4"/>
        <v>0.38980034528433866</v>
      </c>
      <c r="O28" s="26">
        <v>627.24</v>
      </c>
      <c r="P28" s="27">
        <v>467</v>
      </c>
      <c r="Q28" s="28">
        <v>0.51890000000000003</v>
      </c>
      <c r="R28" s="48"/>
      <c r="S28" s="48"/>
      <c r="X28" s="5"/>
    </row>
    <row r="29" spans="1:24" x14ac:dyDescent="0.25">
      <c r="A29" s="6">
        <f t="shared" si="0"/>
        <v>43556</v>
      </c>
      <c r="B29" s="21">
        <v>43556</v>
      </c>
      <c r="C29" s="22">
        <v>2019</v>
      </c>
      <c r="D29" s="22">
        <v>4</v>
      </c>
      <c r="E29" s="22" t="s">
        <v>21</v>
      </c>
      <c r="F29" s="23">
        <v>202097.79</v>
      </c>
      <c r="G29" s="23">
        <v>40800.26</v>
      </c>
      <c r="H29" s="23">
        <v>11857</v>
      </c>
      <c r="I29" s="23">
        <v>0</v>
      </c>
      <c r="J29" s="24">
        <f t="shared" si="1"/>
        <v>254755.05000000002</v>
      </c>
      <c r="K29" s="23">
        <v>14520.400000000001</v>
      </c>
      <c r="L29" s="25">
        <f t="shared" si="2"/>
        <v>5.3923965218515099E-2</v>
      </c>
      <c r="M29" s="24">
        <f t="shared" si="3"/>
        <v>269275.45</v>
      </c>
      <c r="N29" s="25">
        <f t="shared" si="4"/>
        <v>0.2365022192256109</v>
      </c>
      <c r="O29" s="26">
        <v>635.53</v>
      </c>
      <c r="P29" s="27">
        <v>318</v>
      </c>
      <c r="Q29" s="28">
        <v>0.3533</v>
      </c>
      <c r="R29" s="48"/>
      <c r="S29" s="48"/>
      <c r="X29" s="5"/>
    </row>
    <row r="30" spans="1:24" x14ac:dyDescent="0.25">
      <c r="A30" s="56">
        <f t="shared" si="0"/>
        <v>43586</v>
      </c>
      <c r="B30" s="21">
        <v>43586</v>
      </c>
      <c r="C30" s="22">
        <v>2019</v>
      </c>
      <c r="D30" s="22">
        <v>5</v>
      </c>
      <c r="E30" s="22" t="s">
        <v>22</v>
      </c>
      <c r="F30" s="23">
        <v>116062.35</v>
      </c>
      <c r="G30" s="23">
        <v>29138.98</v>
      </c>
      <c r="H30" s="23">
        <v>8609</v>
      </c>
      <c r="I30" s="23">
        <v>0</v>
      </c>
      <c r="J30" s="24">
        <f t="shared" si="1"/>
        <v>153810.33000000002</v>
      </c>
      <c r="K30" s="23">
        <v>8732.11</v>
      </c>
      <c r="L30" s="25">
        <f t="shared" si="2"/>
        <v>5.3722030996950706E-2</v>
      </c>
      <c r="M30" s="24">
        <f t="shared" si="3"/>
        <v>162542.44</v>
      </c>
      <c r="N30" s="25">
        <f t="shared" si="4"/>
        <v>0.23117981598326759</v>
      </c>
      <c r="O30" s="26">
        <v>547.46</v>
      </c>
      <c r="P30" s="27">
        <v>212</v>
      </c>
      <c r="Q30" s="28">
        <v>0.22800000000000001</v>
      </c>
      <c r="R30" s="48"/>
      <c r="S30" s="48"/>
      <c r="X30" s="5"/>
    </row>
    <row r="31" spans="1:24" x14ac:dyDescent="0.25">
      <c r="A31" s="56">
        <f t="shared" si="0"/>
        <v>43617</v>
      </c>
      <c r="B31" s="21">
        <v>43617</v>
      </c>
      <c r="C31" s="22">
        <v>2019</v>
      </c>
      <c r="D31" s="22">
        <v>6</v>
      </c>
      <c r="E31" s="22" t="s">
        <v>23</v>
      </c>
      <c r="F31" s="23">
        <v>156354.89000000001</v>
      </c>
      <c r="G31" s="23">
        <v>33175.599999999999</v>
      </c>
      <c r="H31" s="23">
        <v>10006</v>
      </c>
      <c r="I31" s="23">
        <v>280.79000000000002</v>
      </c>
      <c r="J31" s="24">
        <f t="shared" si="1"/>
        <v>199817.28000000003</v>
      </c>
      <c r="K31" s="23">
        <v>11297.4</v>
      </c>
      <c r="L31" s="25">
        <f t="shared" si="2"/>
        <v>5.3513095347040761E-2</v>
      </c>
      <c r="M31" s="24">
        <f t="shared" si="3"/>
        <v>211114.68000000002</v>
      </c>
      <c r="N31" s="25">
        <f t="shared" si="4"/>
        <v>0.70847897758001843</v>
      </c>
      <c r="O31" s="26">
        <v>552.49</v>
      </c>
      <c r="P31" s="27">
        <v>283</v>
      </c>
      <c r="Q31" s="28">
        <v>0.31440000000000001</v>
      </c>
      <c r="R31" s="48"/>
      <c r="S31" s="48"/>
      <c r="X31" s="5"/>
    </row>
    <row r="32" spans="1:24" x14ac:dyDescent="0.25">
      <c r="A32" s="56">
        <f t="shared" si="0"/>
        <v>43647</v>
      </c>
      <c r="B32" s="21">
        <v>43647</v>
      </c>
      <c r="C32" s="22">
        <v>2019</v>
      </c>
      <c r="D32" s="22">
        <v>7</v>
      </c>
      <c r="E32" s="22" t="s">
        <v>24</v>
      </c>
      <c r="F32" s="23">
        <v>264522.23999999999</v>
      </c>
      <c r="G32" s="23">
        <v>39260</v>
      </c>
      <c r="H32" s="23">
        <v>16900</v>
      </c>
      <c r="I32" s="23">
        <v>97.8</v>
      </c>
      <c r="J32" s="24">
        <f t="shared" si="1"/>
        <v>320780.03999999998</v>
      </c>
      <c r="K32" s="23">
        <v>15941.449999999999</v>
      </c>
      <c r="L32" s="25">
        <f t="shared" si="2"/>
        <v>4.7343132153519513E-2</v>
      </c>
      <c r="M32" s="24">
        <f t="shared" si="3"/>
        <v>336721.49</v>
      </c>
      <c r="N32" s="25">
        <f t="shared" si="4"/>
        <v>7.1939177844243418E-2</v>
      </c>
      <c r="O32" s="26">
        <v>697.95</v>
      </c>
      <c r="P32" s="27">
        <v>379</v>
      </c>
      <c r="Q32" s="28">
        <v>0.40749999999999997</v>
      </c>
      <c r="R32" s="48"/>
      <c r="S32" s="48"/>
      <c r="X32" s="5"/>
    </row>
    <row r="33" spans="1:24" x14ac:dyDescent="0.25">
      <c r="A33" s="56">
        <f t="shared" si="0"/>
        <v>43678</v>
      </c>
      <c r="B33" s="21">
        <v>43678</v>
      </c>
      <c r="C33" s="22">
        <v>2019</v>
      </c>
      <c r="D33" s="22">
        <v>8</v>
      </c>
      <c r="E33" s="22" t="s">
        <v>25</v>
      </c>
      <c r="F33" s="23">
        <v>198389.96</v>
      </c>
      <c r="G33" s="23">
        <v>28114.5</v>
      </c>
      <c r="H33" s="23">
        <v>17890</v>
      </c>
      <c r="I33" s="23">
        <v>-89.95</v>
      </c>
      <c r="J33" s="24">
        <f t="shared" si="1"/>
        <v>244304.50999999998</v>
      </c>
      <c r="K33" s="23">
        <v>12052.800000000001</v>
      </c>
      <c r="L33" s="25">
        <f t="shared" si="2"/>
        <v>4.7015628304104155E-2</v>
      </c>
      <c r="M33" s="24">
        <f t="shared" si="3"/>
        <v>256357.30999999997</v>
      </c>
      <c r="N33" s="49">
        <f t="shared" si="4"/>
        <v>-1.2095013884682881E-3</v>
      </c>
      <c r="O33" s="26">
        <v>681.75</v>
      </c>
      <c r="P33" s="27">
        <v>294</v>
      </c>
      <c r="Q33" s="28">
        <v>0.31609999999999999</v>
      </c>
      <c r="R33" s="48"/>
      <c r="S33" s="48"/>
      <c r="X33" s="5"/>
    </row>
    <row r="34" spans="1:24" x14ac:dyDescent="0.25">
      <c r="A34" s="56">
        <f t="shared" si="0"/>
        <v>43709</v>
      </c>
      <c r="B34" s="21">
        <v>43709</v>
      </c>
      <c r="C34" s="22">
        <v>2019</v>
      </c>
      <c r="D34" s="22">
        <v>9</v>
      </c>
      <c r="E34" s="22" t="s">
        <v>26</v>
      </c>
      <c r="F34" s="23">
        <v>257369.21</v>
      </c>
      <c r="G34" s="23">
        <v>43531.5</v>
      </c>
      <c r="H34" s="23">
        <v>13592.4</v>
      </c>
      <c r="I34" s="23">
        <v>56.16</v>
      </c>
      <c r="J34" s="24">
        <f t="shared" si="1"/>
        <v>314549.26999999996</v>
      </c>
      <c r="K34" s="23">
        <v>15939.259999999998</v>
      </c>
      <c r="L34" s="25">
        <f t="shared" si="2"/>
        <v>4.8229389383044552E-2</v>
      </c>
      <c r="M34" s="24">
        <f t="shared" si="3"/>
        <v>330488.52999999997</v>
      </c>
      <c r="N34" s="49">
        <f t="shared" si="4"/>
        <v>-0.14578016782680905</v>
      </c>
      <c r="O34" s="26">
        <v>695.59</v>
      </c>
      <c r="P34" s="27">
        <v>370</v>
      </c>
      <c r="Q34" s="28">
        <v>0.41110000000000002</v>
      </c>
      <c r="R34" s="48"/>
      <c r="S34" s="48"/>
      <c r="T34" s="50" t="s">
        <v>14</v>
      </c>
      <c r="U34" s="45">
        <f>C26</f>
        <v>2019</v>
      </c>
      <c r="W34" s="3" t="s">
        <v>30</v>
      </c>
      <c r="X34" s="5"/>
    </row>
    <row r="35" spans="1:24" x14ac:dyDescent="0.25">
      <c r="A35" s="56">
        <f t="shared" si="0"/>
        <v>43739</v>
      </c>
      <c r="B35" s="21">
        <v>43739</v>
      </c>
      <c r="C35" s="22">
        <v>2019</v>
      </c>
      <c r="D35" s="22">
        <v>10</v>
      </c>
      <c r="E35" s="22" t="s">
        <v>27</v>
      </c>
      <c r="F35" s="23">
        <v>255861.77</v>
      </c>
      <c r="G35" s="23">
        <v>50593.26</v>
      </c>
      <c r="H35" s="23">
        <v>12731.99</v>
      </c>
      <c r="I35" s="23">
        <v>660.03</v>
      </c>
      <c r="J35" s="24">
        <f t="shared" si="1"/>
        <v>319847.05</v>
      </c>
      <c r="K35" s="23">
        <v>15770.75</v>
      </c>
      <c r="L35" s="25">
        <f t="shared" si="2"/>
        <v>4.6990207313199715E-2</v>
      </c>
      <c r="M35" s="24">
        <f t="shared" si="3"/>
        <v>335617.8</v>
      </c>
      <c r="N35" s="49">
        <f t="shared" si="4"/>
        <v>-4.9223798694525603E-2</v>
      </c>
      <c r="O35" s="26">
        <v>689.65</v>
      </c>
      <c r="P35" s="27">
        <v>371</v>
      </c>
      <c r="Q35" s="28">
        <v>0.33329999999999999</v>
      </c>
      <c r="R35" s="48"/>
      <c r="S35" s="48"/>
      <c r="T35" s="51">
        <f>AVERAGEIF(O26:O37,"&gt;1")</f>
        <v>699.58416666666653</v>
      </c>
      <c r="U35" s="44">
        <f>(T35-T23)/T23</f>
        <v>0.11342903904357921</v>
      </c>
      <c r="W35" s="44">
        <f>AVERAGEIF(Q26:Q37,"&gt;1%")</f>
        <v>0.44007500000000005</v>
      </c>
      <c r="X35" s="5"/>
    </row>
    <row r="36" spans="1:24" x14ac:dyDescent="0.25">
      <c r="A36" s="56">
        <f t="shared" si="0"/>
        <v>43770</v>
      </c>
      <c r="B36" s="21">
        <v>43770</v>
      </c>
      <c r="C36" s="22">
        <v>2019</v>
      </c>
      <c r="D36" s="22">
        <v>11</v>
      </c>
      <c r="E36" s="22" t="s">
        <v>28</v>
      </c>
      <c r="F36" s="23">
        <v>311893.82</v>
      </c>
      <c r="G36" s="23">
        <v>45319.5</v>
      </c>
      <c r="H36" s="23">
        <v>19550</v>
      </c>
      <c r="I36" s="23">
        <v>1.3</v>
      </c>
      <c r="J36" s="24">
        <f t="shared" si="1"/>
        <v>376764.62</v>
      </c>
      <c r="K36" s="23">
        <v>19029.03</v>
      </c>
      <c r="L36" s="25">
        <f t="shared" si="2"/>
        <v>4.8078158909320545E-2</v>
      </c>
      <c r="M36" s="24">
        <f t="shared" si="3"/>
        <v>395793.65</v>
      </c>
      <c r="N36" s="49">
        <f t="shared" si="4"/>
        <v>-8.1629972848713206E-2</v>
      </c>
      <c r="O36" s="26">
        <v>676.56</v>
      </c>
      <c r="P36" s="27">
        <v>476</v>
      </c>
      <c r="Q36" s="28">
        <v>0.52890000000000004</v>
      </c>
      <c r="R36" s="48"/>
      <c r="S36" s="48"/>
      <c r="X36" s="5"/>
    </row>
    <row r="37" spans="1:24" x14ac:dyDescent="0.25">
      <c r="A37" s="57">
        <f t="shared" si="0"/>
        <v>43800</v>
      </c>
      <c r="B37" s="33">
        <v>43800</v>
      </c>
      <c r="C37" s="34">
        <v>2019</v>
      </c>
      <c r="D37" s="34">
        <v>12</v>
      </c>
      <c r="E37" s="34" t="s">
        <v>29</v>
      </c>
      <c r="F37" s="35">
        <v>479192.05</v>
      </c>
      <c r="G37" s="35">
        <v>101394.81</v>
      </c>
      <c r="H37" s="35">
        <v>22062</v>
      </c>
      <c r="I37" s="35">
        <v>712.57</v>
      </c>
      <c r="J37" s="36">
        <f t="shared" si="1"/>
        <v>603361.42999999993</v>
      </c>
      <c r="K37" s="35">
        <v>17080.419999999998</v>
      </c>
      <c r="L37" s="37">
        <f t="shared" si="2"/>
        <v>2.7529445346086822E-2</v>
      </c>
      <c r="M37" s="36">
        <f t="shared" si="3"/>
        <v>620441.85</v>
      </c>
      <c r="N37" s="37">
        <f t="shared" si="4"/>
        <v>2.4635199397256512E-2</v>
      </c>
      <c r="O37" s="38">
        <v>952.67</v>
      </c>
      <c r="P37" s="39">
        <v>506</v>
      </c>
      <c r="Q37" s="40">
        <v>0.54410000000000003</v>
      </c>
      <c r="R37" s="52"/>
      <c r="S37" s="53"/>
      <c r="T37" s="43">
        <f>SUM(M26:M37)</f>
        <v>4489576.51</v>
      </c>
      <c r="U37" s="44">
        <f>(T37-T25)/T25</f>
        <v>0.11121573887517214</v>
      </c>
      <c r="V37" s="45">
        <f>V25+1</f>
        <v>2019</v>
      </c>
      <c r="W37" s="54"/>
      <c r="X37" s="55"/>
    </row>
    <row r="38" spans="1:24" x14ac:dyDescent="0.25">
      <c r="A38" s="56">
        <f t="shared" si="0"/>
        <v>43831</v>
      </c>
      <c r="B38" s="21">
        <v>43831</v>
      </c>
      <c r="C38" s="22">
        <v>2020</v>
      </c>
      <c r="D38" s="22">
        <v>1</v>
      </c>
      <c r="E38" s="22" t="s">
        <v>18</v>
      </c>
      <c r="F38" s="23">
        <v>627145.24</v>
      </c>
      <c r="G38" s="23">
        <v>98262.83</v>
      </c>
      <c r="H38" s="23">
        <v>23930</v>
      </c>
      <c r="I38" s="23">
        <v>0.02</v>
      </c>
      <c r="J38" s="24">
        <f t="shared" si="1"/>
        <v>749338.09</v>
      </c>
      <c r="K38" s="23">
        <v>36810.39</v>
      </c>
      <c r="L38" s="25">
        <f t="shared" si="2"/>
        <v>4.6823711978683721E-2</v>
      </c>
      <c r="M38" s="24">
        <f t="shared" si="3"/>
        <v>786148.48</v>
      </c>
      <c r="N38" s="25">
        <f t="shared" si="4"/>
        <v>6.4914590812939668E-2</v>
      </c>
      <c r="O38" s="26">
        <v>862.18</v>
      </c>
      <c r="P38" s="27">
        <v>710</v>
      </c>
      <c r="Q38" s="28">
        <v>0.76339999999999997</v>
      </c>
      <c r="R38" s="48"/>
      <c r="S38" s="48"/>
      <c r="X38" s="5"/>
    </row>
    <row r="39" spans="1:24" x14ac:dyDescent="0.25">
      <c r="A39" s="56">
        <f t="shared" si="0"/>
        <v>43862</v>
      </c>
      <c r="B39" s="21">
        <v>43862</v>
      </c>
      <c r="C39" s="22">
        <v>2020</v>
      </c>
      <c r="D39" s="22">
        <v>2</v>
      </c>
      <c r="E39" s="22" t="s">
        <v>19</v>
      </c>
      <c r="F39" s="23">
        <v>546550.67000000004</v>
      </c>
      <c r="G39" s="23">
        <v>64442.76</v>
      </c>
      <c r="H39" s="23">
        <v>16725</v>
      </c>
      <c r="I39" s="23">
        <v>0.87</v>
      </c>
      <c r="J39" s="24">
        <f t="shared" si="1"/>
        <v>627719.30000000005</v>
      </c>
      <c r="K39" s="23">
        <v>31281.18</v>
      </c>
      <c r="L39" s="25">
        <f t="shared" si="2"/>
        <v>4.7467613377155653E-2</v>
      </c>
      <c r="M39" s="24">
        <f t="shared" si="3"/>
        <v>659000.4800000001</v>
      </c>
      <c r="N39" s="25">
        <f t="shared" si="4"/>
        <v>0.43426781508414242</v>
      </c>
      <c r="O39" s="26">
        <v>812.11</v>
      </c>
      <c r="P39" s="27">
        <v>673</v>
      </c>
      <c r="Q39" s="28">
        <v>0.77359999999999995</v>
      </c>
      <c r="R39" s="48"/>
      <c r="S39" s="48"/>
      <c r="X39" s="5"/>
    </row>
    <row r="40" spans="1:24" x14ac:dyDescent="0.25">
      <c r="A40" s="56">
        <f t="shared" si="0"/>
        <v>43891</v>
      </c>
      <c r="B40" s="21">
        <v>43891</v>
      </c>
      <c r="C40" s="22">
        <v>2020</v>
      </c>
      <c r="D40" s="22">
        <v>3</v>
      </c>
      <c r="E40" s="22" t="s">
        <v>20</v>
      </c>
      <c r="F40" s="23">
        <v>106584.04</v>
      </c>
      <c r="G40" s="23">
        <v>19745</v>
      </c>
      <c r="H40" s="23">
        <v>6220</v>
      </c>
      <c r="I40" s="23">
        <v>6.01</v>
      </c>
      <c r="J40" s="24">
        <f t="shared" si="1"/>
        <v>132555.04999999999</v>
      </c>
      <c r="K40" s="23">
        <v>10176.620000000001</v>
      </c>
      <c r="L40" s="25">
        <f t="shared" si="2"/>
        <v>7.1298962591834047E-2</v>
      </c>
      <c r="M40" s="24">
        <f t="shared" si="3"/>
        <v>142731.66999999998</v>
      </c>
      <c r="N40" s="49">
        <f t="shared" si="4"/>
        <v>-0.6178825807843743</v>
      </c>
      <c r="O40" s="26">
        <v>701.21</v>
      </c>
      <c r="P40" s="27">
        <v>152</v>
      </c>
      <c r="Q40" s="28">
        <v>0.16889999999999999</v>
      </c>
      <c r="R40" s="48"/>
      <c r="S40" s="48"/>
      <c r="X40" s="5"/>
    </row>
    <row r="41" spans="1:24" x14ac:dyDescent="0.25">
      <c r="A41" s="56">
        <f t="shared" si="0"/>
        <v>43922</v>
      </c>
      <c r="B41" s="21">
        <v>43922</v>
      </c>
      <c r="C41" s="22">
        <v>2020</v>
      </c>
      <c r="D41" s="22">
        <v>4</v>
      </c>
      <c r="E41" s="22" t="s">
        <v>21</v>
      </c>
      <c r="F41" s="23">
        <v>1</v>
      </c>
      <c r="G41" s="23">
        <v>0</v>
      </c>
      <c r="H41" s="23">
        <v>0</v>
      </c>
      <c r="I41" s="23">
        <v>0</v>
      </c>
      <c r="J41" s="24">
        <f t="shared" si="1"/>
        <v>1</v>
      </c>
      <c r="K41" s="23">
        <v>0</v>
      </c>
      <c r="L41" s="25" t="str">
        <f t="shared" si="2"/>
        <v/>
      </c>
      <c r="M41" s="24">
        <f t="shared" si="3"/>
        <v>1</v>
      </c>
      <c r="N41" s="25" t="s">
        <v>31</v>
      </c>
      <c r="O41" s="26"/>
      <c r="P41" s="27">
        <v>0</v>
      </c>
      <c r="Q41" s="28"/>
      <c r="R41" s="58" t="s">
        <v>32</v>
      </c>
      <c r="S41" s="48"/>
      <c r="X41" s="5"/>
    </row>
    <row r="42" spans="1:24" x14ac:dyDescent="0.25">
      <c r="A42" s="56">
        <f t="shared" si="0"/>
        <v>43952</v>
      </c>
      <c r="B42" s="21">
        <v>43952</v>
      </c>
      <c r="C42" s="22">
        <v>2020</v>
      </c>
      <c r="D42" s="22">
        <v>5</v>
      </c>
      <c r="E42" s="22" t="s">
        <v>22</v>
      </c>
      <c r="F42" s="23">
        <v>1</v>
      </c>
      <c r="G42" s="23">
        <v>0</v>
      </c>
      <c r="H42" s="23">
        <v>0</v>
      </c>
      <c r="I42" s="23">
        <v>0</v>
      </c>
      <c r="J42" s="24">
        <f t="shared" si="1"/>
        <v>1</v>
      </c>
      <c r="K42" s="23">
        <v>0</v>
      </c>
      <c r="L42" s="25" t="str">
        <f t="shared" si="2"/>
        <v/>
      </c>
      <c r="M42" s="24">
        <f t="shared" si="3"/>
        <v>1</v>
      </c>
      <c r="N42" s="25" t="s">
        <v>31</v>
      </c>
      <c r="O42" s="26"/>
      <c r="P42" s="27">
        <v>0</v>
      </c>
      <c r="Q42" s="28"/>
      <c r="R42" s="58" t="s">
        <v>32</v>
      </c>
      <c r="S42" s="48"/>
      <c r="X42" s="5"/>
    </row>
    <row r="43" spans="1:24" x14ac:dyDescent="0.25">
      <c r="A43" s="56">
        <f t="shared" si="0"/>
        <v>43983</v>
      </c>
      <c r="B43" s="21">
        <v>43983</v>
      </c>
      <c r="C43" s="22">
        <v>2020</v>
      </c>
      <c r="D43" s="22">
        <v>6</v>
      </c>
      <c r="E43" s="22" t="s">
        <v>23</v>
      </c>
      <c r="F43" s="23">
        <v>1</v>
      </c>
      <c r="G43" s="23">
        <v>0</v>
      </c>
      <c r="H43" s="23">
        <v>0</v>
      </c>
      <c r="I43" s="23">
        <v>0</v>
      </c>
      <c r="J43" s="24">
        <f t="shared" si="1"/>
        <v>1</v>
      </c>
      <c r="K43" s="23">
        <v>0</v>
      </c>
      <c r="L43" s="25" t="str">
        <f t="shared" si="2"/>
        <v/>
      </c>
      <c r="M43" s="24">
        <f t="shared" si="3"/>
        <v>1</v>
      </c>
      <c r="N43" s="25" t="s">
        <v>31</v>
      </c>
      <c r="O43" s="26"/>
      <c r="P43" s="27">
        <v>0</v>
      </c>
      <c r="Q43" s="28"/>
      <c r="R43" s="58" t="s">
        <v>32</v>
      </c>
      <c r="S43" s="48"/>
      <c r="X43" s="5"/>
    </row>
    <row r="44" spans="1:24" x14ac:dyDescent="0.25">
      <c r="A44" s="56">
        <f t="shared" si="0"/>
        <v>44013</v>
      </c>
      <c r="B44" s="21">
        <v>44013</v>
      </c>
      <c r="C44" s="22">
        <v>2020</v>
      </c>
      <c r="D44" s="22">
        <v>7</v>
      </c>
      <c r="E44" s="22" t="s">
        <v>24</v>
      </c>
      <c r="F44" s="23">
        <v>13961.86</v>
      </c>
      <c r="G44" s="23">
        <v>0</v>
      </c>
      <c r="H44" s="23">
        <v>0</v>
      </c>
      <c r="I44" s="23">
        <v>0</v>
      </c>
      <c r="J44" s="24">
        <f t="shared" si="1"/>
        <v>13961.86</v>
      </c>
      <c r="K44" s="23">
        <v>21</v>
      </c>
      <c r="L44" s="25">
        <f t="shared" si="2"/>
        <v>1.5018386796406458E-3</v>
      </c>
      <c r="M44" s="24">
        <f t="shared" si="3"/>
        <v>13982.86</v>
      </c>
      <c r="N44" s="25" t="s">
        <v>31</v>
      </c>
      <c r="O44" s="26"/>
      <c r="P44" s="27">
        <v>21</v>
      </c>
      <c r="Q44" s="28"/>
      <c r="R44" s="58" t="s">
        <v>32</v>
      </c>
      <c r="S44" s="48"/>
      <c r="X44" s="5"/>
    </row>
    <row r="45" spans="1:24" x14ac:dyDescent="0.25">
      <c r="A45" s="56">
        <f t="shared" si="0"/>
        <v>44044</v>
      </c>
      <c r="B45" s="21">
        <v>44044</v>
      </c>
      <c r="C45" s="22">
        <v>2020</v>
      </c>
      <c r="D45" s="22">
        <v>8</v>
      </c>
      <c r="E45" s="22" t="s">
        <v>25</v>
      </c>
      <c r="F45" s="23">
        <v>255301.55</v>
      </c>
      <c r="G45" s="23">
        <v>49398</v>
      </c>
      <c r="H45" s="23">
        <v>11810</v>
      </c>
      <c r="I45" s="23">
        <v>0.6</v>
      </c>
      <c r="J45" s="24">
        <f t="shared" si="1"/>
        <v>316510.14999999997</v>
      </c>
      <c r="K45" s="23">
        <v>10155.719999999999</v>
      </c>
      <c r="L45" s="25">
        <f t="shared" si="2"/>
        <v>3.1089014594637639E-2</v>
      </c>
      <c r="M45" s="24">
        <f t="shared" si="3"/>
        <v>326665.86999999994</v>
      </c>
      <c r="N45" s="25">
        <f t="shared" ref="N45:N52" si="5">IF(M45=0,0,(M45-M33)/M33)</f>
        <v>0.27426001622501023</v>
      </c>
      <c r="O45" s="26">
        <v>690</v>
      </c>
      <c r="P45" s="27">
        <v>370</v>
      </c>
      <c r="Q45" s="28">
        <v>0.39779999999999999</v>
      </c>
      <c r="R45" s="48"/>
      <c r="S45" s="48"/>
      <c r="X45" s="5"/>
    </row>
    <row r="46" spans="1:24" x14ac:dyDescent="0.25">
      <c r="A46" s="56">
        <f t="shared" si="0"/>
        <v>44075</v>
      </c>
      <c r="B46" s="21">
        <v>44075</v>
      </c>
      <c r="C46" s="22">
        <v>2020</v>
      </c>
      <c r="D46" s="22">
        <v>9</v>
      </c>
      <c r="E46" s="22" t="s">
        <v>26</v>
      </c>
      <c r="F46" s="23">
        <v>327057.52</v>
      </c>
      <c r="G46" s="23">
        <v>62753.65</v>
      </c>
      <c r="H46" s="23">
        <v>14225</v>
      </c>
      <c r="I46" s="23">
        <v>1021.08</v>
      </c>
      <c r="J46" s="24">
        <f t="shared" si="1"/>
        <v>405057.25000000006</v>
      </c>
      <c r="K46" s="23">
        <v>9241.2999999999993</v>
      </c>
      <c r="L46" s="25">
        <f t="shared" si="2"/>
        <v>2.2305895108732574E-2</v>
      </c>
      <c r="M46" s="24">
        <f t="shared" si="3"/>
        <v>414298.55000000005</v>
      </c>
      <c r="N46" s="25">
        <f t="shared" si="5"/>
        <v>0.2535943380546371</v>
      </c>
      <c r="O46" s="26">
        <v>760.6</v>
      </c>
      <c r="P46" s="27">
        <v>430</v>
      </c>
      <c r="Q46" s="28">
        <v>0.4778</v>
      </c>
      <c r="R46" s="48"/>
      <c r="S46" s="48"/>
      <c r="T46" s="50" t="s">
        <v>14</v>
      </c>
      <c r="U46" s="45">
        <f>C38</f>
        <v>2020</v>
      </c>
      <c r="W46" s="3" t="s">
        <v>30</v>
      </c>
      <c r="X46" s="5"/>
    </row>
    <row r="47" spans="1:24" x14ac:dyDescent="0.25">
      <c r="A47" s="56">
        <f t="shared" si="0"/>
        <v>44105</v>
      </c>
      <c r="B47" s="21">
        <v>44105</v>
      </c>
      <c r="C47" s="22">
        <v>2020</v>
      </c>
      <c r="D47" s="22">
        <v>10</v>
      </c>
      <c r="E47" s="22" t="s">
        <v>27</v>
      </c>
      <c r="F47" s="23">
        <v>476974.65</v>
      </c>
      <c r="G47" s="23">
        <v>86721.42</v>
      </c>
      <c r="H47" s="23">
        <v>21455</v>
      </c>
      <c r="I47" s="23">
        <v>130.9</v>
      </c>
      <c r="J47" s="24">
        <f t="shared" si="1"/>
        <v>585281.97000000009</v>
      </c>
      <c r="K47" s="23">
        <v>14956.710000000001</v>
      </c>
      <c r="L47" s="25">
        <f t="shared" si="2"/>
        <v>2.4917937644405055E-2</v>
      </c>
      <c r="M47" s="24">
        <f t="shared" si="3"/>
        <v>600238.68000000005</v>
      </c>
      <c r="N47" s="25">
        <f t="shared" si="5"/>
        <v>0.78845901498669047</v>
      </c>
      <c r="O47" s="26">
        <v>766.84</v>
      </c>
      <c r="P47" s="27">
        <v>622</v>
      </c>
      <c r="Q47" s="28">
        <v>0.66879999999999995</v>
      </c>
      <c r="R47" s="48"/>
      <c r="S47" s="48"/>
      <c r="T47" s="51">
        <f>AVERAGEIF(O38:O49,"&gt;1")</f>
        <v>800.2662499999999</v>
      </c>
      <c r="U47" s="44">
        <f>(T47-T35)/T35</f>
        <v>0.1439170411947098</v>
      </c>
      <c r="W47" s="44">
        <f>AVERAGEIF(Q38:Q49,"&gt;1%")</f>
        <v>0.58225000000000005</v>
      </c>
      <c r="X47" s="5"/>
    </row>
    <row r="48" spans="1:24" x14ac:dyDescent="0.25">
      <c r="A48" s="56">
        <f t="shared" si="0"/>
        <v>44136</v>
      </c>
      <c r="B48" s="21">
        <v>44136</v>
      </c>
      <c r="C48" s="22">
        <v>2020</v>
      </c>
      <c r="D48" s="22">
        <v>11</v>
      </c>
      <c r="E48" s="22" t="s">
        <v>28</v>
      </c>
      <c r="F48" s="23">
        <v>448664.33</v>
      </c>
      <c r="G48" s="23">
        <v>75247.100000000006</v>
      </c>
      <c r="H48" s="23">
        <v>15940</v>
      </c>
      <c r="I48" s="23">
        <v>2</v>
      </c>
      <c r="J48" s="24">
        <f t="shared" si="1"/>
        <v>539853.43000000005</v>
      </c>
      <c r="K48" s="23">
        <v>13038.25</v>
      </c>
      <c r="L48" s="25">
        <f t="shared" si="2"/>
        <v>2.3581924763273702E-2</v>
      </c>
      <c r="M48" s="24">
        <f t="shared" si="3"/>
        <v>552891.68000000005</v>
      </c>
      <c r="N48" s="25">
        <f t="shared" si="5"/>
        <v>0.39691902586107691</v>
      </c>
      <c r="O48" s="26">
        <v>741.59</v>
      </c>
      <c r="P48" s="27">
        <v>605</v>
      </c>
      <c r="Q48" s="28">
        <v>0.67220000000000002</v>
      </c>
      <c r="R48" s="59"/>
      <c r="S48" s="48"/>
      <c r="X48" s="5"/>
    </row>
    <row r="49" spans="1:24" x14ac:dyDescent="0.25">
      <c r="A49" s="57">
        <f t="shared" si="0"/>
        <v>44166</v>
      </c>
      <c r="B49" s="33">
        <v>44166</v>
      </c>
      <c r="C49" s="34">
        <v>2020</v>
      </c>
      <c r="D49" s="34">
        <v>12</v>
      </c>
      <c r="E49" s="34" t="s">
        <v>29</v>
      </c>
      <c r="F49" s="35">
        <v>730238.74</v>
      </c>
      <c r="G49" s="35">
        <v>131768.54</v>
      </c>
      <c r="H49" s="35">
        <v>22060</v>
      </c>
      <c r="I49" s="35">
        <v>0</v>
      </c>
      <c r="J49" s="36">
        <f t="shared" si="1"/>
        <v>884067.28</v>
      </c>
      <c r="K49" s="35">
        <v>15896.750000000002</v>
      </c>
      <c r="L49" s="37">
        <f t="shared" si="2"/>
        <v>1.7663761517224194E-2</v>
      </c>
      <c r="M49" s="36">
        <f t="shared" si="3"/>
        <v>899964.03</v>
      </c>
      <c r="N49" s="37">
        <f t="shared" si="5"/>
        <v>0.45052115681751653</v>
      </c>
      <c r="O49" s="38">
        <v>1067.5999999999999</v>
      </c>
      <c r="P49" s="39">
        <v>684</v>
      </c>
      <c r="Q49" s="40">
        <v>0.73550000000000004</v>
      </c>
      <c r="R49" s="52"/>
      <c r="S49" s="53"/>
      <c r="T49" s="43">
        <f>SUM(M38:M49)</f>
        <v>4395925.3000000007</v>
      </c>
      <c r="U49" s="60">
        <f>(T49-T37)/T37</f>
        <v>-2.0859697967369986E-2</v>
      </c>
      <c r="V49" s="45">
        <f>V37+1</f>
        <v>2020</v>
      </c>
      <c r="W49" s="54"/>
      <c r="X49" s="55"/>
    </row>
    <row r="50" spans="1:24" x14ac:dyDescent="0.25">
      <c r="A50" s="56">
        <f t="shared" si="0"/>
        <v>44197</v>
      </c>
      <c r="B50" s="21">
        <v>44197</v>
      </c>
      <c r="C50" s="22">
        <v>2021</v>
      </c>
      <c r="D50" s="22">
        <v>1</v>
      </c>
      <c r="E50" s="22" t="s">
        <v>18</v>
      </c>
      <c r="F50" s="23">
        <v>904550.76</v>
      </c>
      <c r="G50" s="23">
        <v>122559.86</v>
      </c>
      <c r="H50" s="23">
        <v>28345</v>
      </c>
      <c r="I50" s="23">
        <v>1269.75</v>
      </c>
      <c r="J50" s="24">
        <f t="shared" si="1"/>
        <v>1056725.3700000001</v>
      </c>
      <c r="K50" s="23">
        <v>26935.300000000003</v>
      </c>
      <c r="L50" s="25">
        <f t="shared" si="2"/>
        <v>2.4855843480967154E-2</v>
      </c>
      <c r="M50" s="24">
        <f t="shared" si="3"/>
        <v>1083660.6700000002</v>
      </c>
      <c r="N50" s="25">
        <f t="shared" si="5"/>
        <v>0.37844274659158555</v>
      </c>
      <c r="O50" s="26">
        <v>1158.2</v>
      </c>
      <c r="P50" s="27">
        <v>781</v>
      </c>
      <c r="Q50" s="28">
        <v>0.83979999999999999</v>
      </c>
      <c r="R50" s="48"/>
      <c r="S50" s="48"/>
      <c r="X50" s="5"/>
    </row>
    <row r="51" spans="1:24" x14ac:dyDescent="0.25">
      <c r="A51" s="56">
        <f t="shared" si="0"/>
        <v>44228</v>
      </c>
      <c r="B51" s="21">
        <v>44228</v>
      </c>
      <c r="C51" s="22">
        <v>2021</v>
      </c>
      <c r="D51" s="22">
        <v>2</v>
      </c>
      <c r="E51" s="22" t="s">
        <v>19</v>
      </c>
      <c r="F51" s="23">
        <v>369050.87</v>
      </c>
      <c r="G51" s="23">
        <v>57405</v>
      </c>
      <c r="H51" s="23">
        <v>19260</v>
      </c>
      <c r="I51" s="23">
        <v>0</v>
      </c>
      <c r="J51" s="24">
        <f t="shared" si="1"/>
        <v>445715.87</v>
      </c>
      <c r="K51" s="23">
        <v>12102.029999999999</v>
      </c>
      <c r="L51" s="25">
        <f t="shared" si="2"/>
        <v>2.6434156462645953E-2</v>
      </c>
      <c r="M51" s="24">
        <f t="shared" si="3"/>
        <v>457817.9</v>
      </c>
      <c r="N51" s="49">
        <f t="shared" si="5"/>
        <v>-0.30528442103714409</v>
      </c>
      <c r="O51" s="26">
        <v>1057.45</v>
      </c>
      <c r="P51" s="27">
        <v>349</v>
      </c>
      <c r="Q51" s="28">
        <v>0.41549999999999998</v>
      </c>
      <c r="R51" s="48"/>
      <c r="S51" s="48"/>
      <c r="X51" s="5"/>
    </row>
    <row r="52" spans="1:24" x14ac:dyDescent="0.25">
      <c r="A52" s="56">
        <f t="shared" si="0"/>
        <v>44256</v>
      </c>
      <c r="B52" s="21">
        <v>44256</v>
      </c>
      <c r="C52" s="22">
        <v>2021</v>
      </c>
      <c r="D52" s="22">
        <v>3</v>
      </c>
      <c r="E52" s="22" t="s">
        <v>20</v>
      </c>
      <c r="F52" s="23">
        <v>251994.13</v>
      </c>
      <c r="G52" s="23">
        <v>63789.58</v>
      </c>
      <c r="H52" s="23">
        <v>13855</v>
      </c>
      <c r="I52" s="23">
        <v>1315.67</v>
      </c>
      <c r="J52" s="24">
        <f t="shared" si="1"/>
        <v>330954.38</v>
      </c>
      <c r="K52" s="23">
        <v>9369.36</v>
      </c>
      <c r="L52" s="25">
        <f t="shared" si="2"/>
        <v>2.7530727065940216E-2</v>
      </c>
      <c r="M52" s="24">
        <f t="shared" si="3"/>
        <v>340323.74</v>
      </c>
      <c r="N52" s="25">
        <f t="shared" si="5"/>
        <v>1.3843603875720085</v>
      </c>
      <c r="O52" s="26">
        <v>759.02</v>
      </c>
      <c r="P52" s="27">
        <v>332</v>
      </c>
      <c r="Q52" s="28">
        <v>0.35699999999999998</v>
      </c>
      <c r="R52" s="48"/>
      <c r="S52" s="48"/>
      <c r="X52" s="5"/>
    </row>
    <row r="53" spans="1:24" x14ac:dyDescent="0.25">
      <c r="A53" s="56">
        <f t="shared" si="0"/>
        <v>44287</v>
      </c>
      <c r="B53" s="21">
        <v>44287</v>
      </c>
      <c r="C53" s="22">
        <v>2021</v>
      </c>
      <c r="D53" s="22">
        <v>4</v>
      </c>
      <c r="E53" s="22" t="s">
        <v>21</v>
      </c>
      <c r="F53" s="23">
        <v>215023.57</v>
      </c>
      <c r="G53" s="23">
        <v>52994.67</v>
      </c>
      <c r="H53" s="23">
        <v>17482</v>
      </c>
      <c r="I53" s="23">
        <v>2.1</v>
      </c>
      <c r="J53" s="24">
        <f t="shared" si="1"/>
        <v>285502.33999999997</v>
      </c>
      <c r="K53" s="23">
        <v>6981.6</v>
      </c>
      <c r="L53" s="25">
        <f t="shared" si="2"/>
        <v>2.3870028556097822E-2</v>
      </c>
      <c r="M53" s="24">
        <f t="shared" si="3"/>
        <v>292483.93999999994</v>
      </c>
      <c r="N53" s="25" t="s">
        <v>31</v>
      </c>
      <c r="O53" s="26">
        <v>773.47</v>
      </c>
      <c r="P53" s="27">
        <v>278</v>
      </c>
      <c r="Q53" s="28">
        <v>0.30858999999999998</v>
      </c>
      <c r="R53" s="48"/>
      <c r="S53" s="48"/>
      <c r="X53" s="5"/>
    </row>
    <row r="54" spans="1:24" x14ac:dyDescent="0.25">
      <c r="A54" s="56">
        <f t="shared" si="0"/>
        <v>44317</v>
      </c>
      <c r="B54" s="21">
        <v>44317</v>
      </c>
      <c r="C54" s="22">
        <v>2021</v>
      </c>
      <c r="D54" s="22">
        <v>5</v>
      </c>
      <c r="E54" s="22" t="s">
        <v>22</v>
      </c>
      <c r="F54" s="23">
        <v>325759.94</v>
      </c>
      <c r="G54" s="23">
        <v>66279.520000000004</v>
      </c>
      <c r="H54" s="23">
        <v>14025</v>
      </c>
      <c r="I54" s="23">
        <v>0.01</v>
      </c>
      <c r="J54" s="24">
        <f t="shared" si="1"/>
        <v>406064.47000000003</v>
      </c>
      <c r="K54" s="23">
        <v>10247.369999999999</v>
      </c>
      <c r="L54" s="25">
        <f t="shared" si="2"/>
        <v>2.4614649441630096E-2</v>
      </c>
      <c r="M54" s="24">
        <f t="shared" si="3"/>
        <v>416311.84</v>
      </c>
      <c r="N54" s="25" t="s">
        <v>31</v>
      </c>
      <c r="O54" s="26">
        <v>764.69</v>
      </c>
      <c r="P54" s="27">
        <v>426</v>
      </c>
      <c r="Q54" s="28">
        <v>0.45810000000000001</v>
      </c>
      <c r="R54" s="48"/>
      <c r="S54" s="48"/>
      <c r="X54" s="5"/>
    </row>
    <row r="55" spans="1:24" x14ac:dyDescent="0.25">
      <c r="A55" s="56">
        <f t="shared" si="0"/>
        <v>44348</v>
      </c>
      <c r="B55" s="21">
        <v>44348</v>
      </c>
      <c r="C55" s="22">
        <v>2021</v>
      </c>
      <c r="D55" s="22">
        <v>6</v>
      </c>
      <c r="E55" s="22" t="s">
        <v>23</v>
      </c>
      <c r="F55" s="23">
        <v>395481.96</v>
      </c>
      <c r="G55" s="23">
        <v>73654.009999999995</v>
      </c>
      <c r="H55" s="23">
        <v>18338</v>
      </c>
      <c r="I55" s="23">
        <v>0</v>
      </c>
      <c r="J55" s="24">
        <f t="shared" si="1"/>
        <v>487473.97000000003</v>
      </c>
      <c r="K55" s="23">
        <v>9683.4399999999987</v>
      </c>
      <c r="L55" s="25">
        <f t="shared" si="2"/>
        <v>1.947761374008284E-2</v>
      </c>
      <c r="M55" s="24">
        <f t="shared" si="3"/>
        <v>497157.41000000003</v>
      </c>
      <c r="N55" s="25" t="s">
        <v>31</v>
      </c>
      <c r="O55" s="26">
        <v>732.37</v>
      </c>
      <c r="P55" s="27">
        <v>540</v>
      </c>
      <c r="Q55" s="28">
        <v>0.58950000000000002</v>
      </c>
      <c r="R55" s="48"/>
      <c r="S55" s="48"/>
      <c r="X55" s="5"/>
    </row>
    <row r="56" spans="1:24" x14ac:dyDescent="0.25">
      <c r="A56" s="56">
        <f t="shared" si="0"/>
        <v>44378</v>
      </c>
      <c r="B56" s="21">
        <v>44378</v>
      </c>
      <c r="C56" s="22">
        <v>2021</v>
      </c>
      <c r="D56" s="22">
        <v>7</v>
      </c>
      <c r="E56" s="22" t="s">
        <v>24</v>
      </c>
      <c r="F56" s="23">
        <v>702098.29</v>
      </c>
      <c r="G56" s="23">
        <v>102935.69</v>
      </c>
      <c r="H56" s="23">
        <f>13561+17645</f>
        <v>31206</v>
      </c>
      <c r="I56" s="23">
        <v>0</v>
      </c>
      <c r="J56" s="24">
        <f t="shared" si="1"/>
        <v>836239.98</v>
      </c>
      <c r="K56" s="23">
        <f>32963.8-17645</f>
        <v>15318.800000000003</v>
      </c>
      <c r="L56" s="25">
        <f t="shared" si="2"/>
        <v>1.7989128125717877E-2</v>
      </c>
      <c r="M56" s="24">
        <f t="shared" si="3"/>
        <v>851558.78</v>
      </c>
      <c r="N56" s="25" t="s">
        <v>31</v>
      </c>
      <c r="O56" s="26">
        <v>861.47</v>
      </c>
      <c r="P56" s="27">
        <v>815</v>
      </c>
      <c r="Q56" s="28">
        <v>0.8216</v>
      </c>
      <c r="R56" s="48"/>
      <c r="S56" s="48"/>
      <c r="X56" s="5"/>
    </row>
    <row r="57" spans="1:24" x14ac:dyDescent="0.25">
      <c r="A57" s="56">
        <f t="shared" si="0"/>
        <v>44409</v>
      </c>
      <c r="B57" s="21">
        <v>44409</v>
      </c>
      <c r="C57" s="22">
        <v>2021</v>
      </c>
      <c r="D57" s="22">
        <v>8</v>
      </c>
      <c r="E57" s="22" t="s">
        <v>25</v>
      </c>
      <c r="F57" s="23">
        <v>447604.03</v>
      </c>
      <c r="G57" s="23">
        <v>68926.23</v>
      </c>
      <c r="H57" s="23">
        <v>19755</v>
      </c>
      <c r="I57" s="23">
        <v>650.64</v>
      </c>
      <c r="J57" s="24">
        <f>SUM(F57:I57)</f>
        <v>536935.9</v>
      </c>
      <c r="K57" s="23">
        <v>9505.869999999999</v>
      </c>
      <c r="L57" s="25">
        <f t="shared" si="2"/>
        <v>1.7395943212759887E-2</v>
      </c>
      <c r="M57" s="24">
        <f t="shared" si="3"/>
        <v>546441.77</v>
      </c>
      <c r="N57" s="25">
        <f t="shared" ref="N57:N120" si="6">IF(M57=0,0,(M57-M45)/M45)</f>
        <v>0.67278500811854058</v>
      </c>
      <c r="O57" s="26">
        <v>867.45</v>
      </c>
      <c r="P57" s="27">
        <v>516</v>
      </c>
      <c r="Q57" s="28">
        <v>0.5202</v>
      </c>
      <c r="R57" s="48"/>
      <c r="S57" s="48"/>
      <c r="X57" s="5"/>
    </row>
    <row r="58" spans="1:24" x14ac:dyDescent="0.25">
      <c r="A58" s="56">
        <f t="shared" si="0"/>
        <v>44440</v>
      </c>
      <c r="B58" s="21">
        <v>44440</v>
      </c>
      <c r="C58" s="22">
        <v>2021</v>
      </c>
      <c r="D58" s="22">
        <v>9</v>
      </c>
      <c r="E58" s="22" t="s">
        <v>26</v>
      </c>
      <c r="F58" s="23">
        <f>346124.18+257723.17</f>
        <v>603847.35</v>
      </c>
      <c r="G58" s="23">
        <f>45393.39+52996.08-15025</f>
        <v>83364.47</v>
      </c>
      <c r="H58" s="23">
        <f>8798+11160+15025</f>
        <v>34983</v>
      </c>
      <c r="I58" s="23">
        <v>0</v>
      </c>
      <c r="J58" s="24">
        <f t="shared" ref="J58" si="7">SUM(F58:I58)</f>
        <v>722194.82</v>
      </c>
      <c r="K58" s="23">
        <v>9998.7800000000007</v>
      </c>
      <c r="L58" s="25">
        <f t="shared" si="2"/>
        <v>1.3655923788462506E-2</v>
      </c>
      <c r="M58" s="24">
        <f t="shared" si="3"/>
        <v>732193.6</v>
      </c>
      <c r="N58" s="25">
        <f t="shared" si="6"/>
        <v>0.76730910595752722</v>
      </c>
      <c r="O58" s="26">
        <v>934.8</v>
      </c>
      <c r="P58" s="27">
        <f>360+285</f>
        <v>645</v>
      </c>
      <c r="Q58" s="28">
        <v>0.65029999999999999</v>
      </c>
      <c r="R58" s="48"/>
      <c r="S58" s="48"/>
      <c r="T58" s="50" t="s">
        <v>14</v>
      </c>
      <c r="U58" s="45">
        <f>C50</f>
        <v>2021</v>
      </c>
      <c r="W58" s="3" t="s">
        <v>30</v>
      </c>
      <c r="X58" s="5"/>
    </row>
    <row r="59" spans="1:24" x14ac:dyDescent="0.25">
      <c r="A59" s="56">
        <f t="shared" si="0"/>
        <v>44470</v>
      </c>
      <c r="B59" s="21">
        <v>44470</v>
      </c>
      <c r="C59" s="22">
        <v>2021</v>
      </c>
      <c r="D59" s="22">
        <v>10</v>
      </c>
      <c r="E59" s="22" t="s">
        <v>27</v>
      </c>
      <c r="F59" s="23">
        <v>618999.87</v>
      </c>
      <c r="G59" s="23">
        <f>115990.15-H59</f>
        <v>83794.14</v>
      </c>
      <c r="H59" s="23">
        <v>32196.01</v>
      </c>
      <c r="I59" s="23">
        <v>0</v>
      </c>
      <c r="J59" s="24">
        <f t="shared" si="1"/>
        <v>734990.02</v>
      </c>
      <c r="K59" s="23">
        <v>8764.76</v>
      </c>
      <c r="L59" s="25">
        <f t="shared" si="2"/>
        <v>1.1784475522967396E-2</v>
      </c>
      <c r="M59" s="24">
        <f t="shared" si="3"/>
        <v>743754.78</v>
      </c>
      <c r="N59" s="25">
        <f t="shared" si="6"/>
        <v>0.23909838666178587</v>
      </c>
      <c r="O59" s="26">
        <v>953.52</v>
      </c>
      <c r="P59" s="27">
        <v>640</v>
      </c>
      <c r="Q59" s="28">
        <v>0.6452</v>
      </c>
      <c r="R59" s="48"/>
      <c r="S59" s="48"/>
      <c r="T59" s="51">
        <f>AVERAGEIF(O50:O61,"&gt;1")</f>
        <v>919.70833333333337</v>
      </c>
      <c r="U59" s="44">
        <f>(T59-T47)/T47</f>
        <v>0.14925293092559319</v>
      </c>
      <c r="W59" s="44">
        <f>AVERAGEIF(Q50:Q61,"&gt;1%")</f>
        <v>0.57327416666666664</v>
      </c>
      <c r="X59" s="5"/>
    </row>
    <row r="60" spans="1:24" x14ac:dyDescent="0.25">
      <c r="A60" s="56">
        <f t="shared" si="0"/>
        <v>44501</v>
      </c>
      <c r="B60" s="21">
        <v>44501</v>
      </c>
      <c r="C60" s="22">
        <v>2021</v>
      </c>
      <c r="D60" s="22">
        <v>11</v>
      </c>
      <c r="E60" s="22" t="s">
        <v>28</v>
      </c>
      <c r="F60" s="23">
        <v>585660.56000000006</v>
      </c>
      <c r="G60" s="23">
        <v>87000.799999999988</v>
      </c>
      <c r="H60" s="23">
        <v>35528</v>
      </c>
      <c r="I60" s="23">
        <v>0</v>
      </c>
      <c r="J60" s="24">
        <f t="shared" si="1"/>
        <v>708189.3600000001</v>
      </c>
      <c r="K60" s="23">
        <v>8415.56</v>
      </c>
      <c r="L60" s="25">
        <f t="shared" si="2"/>
        <v>1.1743653671816819E-2</v>
      </c>
      <c r="M60" s="24">
        <f t="shared" si="3"/>
        <v>716604.92000000016</v>
      </c>
      <c r="N60" s="25">
        <f t="shared" si="6"/>
        <v>0.2961036418562133</v>
      </c>
      <c r="O60" s="26">
        <v>997.72</v>
      </c>
      <c r="P60" s="27">
        <v>581</v>
      </c>
      <c r="Q60" s="28">
        <v>0.60519999999999996</v>
      </c>
      <c r="R60" s="48"/>
      <c r="S60" s="48"/>
      <c r="X60" s="5"/>
    </row>
    <row r="61" spans="1:24" x14ac:dyDescent="0.25">
      <c r="A61" s="57">
        <f t="shared" si="0"/>
        <v>44531</v>
      </c>
      <c r="B61" s="33">
        <v>44531</v>
      </c>
      <c r="C61" s="34">
        <v>2021</v>
      </c>
      <c r="D61" s="34">
        <v>12</v>
      </c>
      <c r="E61" s="34" t="s">
        <v>29</v>
      </c>
      <c r="F61" s="35">
        <v>782266.95</v>
      </c>
      <c r="G61" s="35">
        <v>93213.62</v>
      </c>
      <c r="H61" s="35">
        <v>44395</v>
      </c>
      <c r="I61" s="35">
        <v>0</v>
      </c>
      <c r="J61" s="36">
        <f t="shared" si="1"/>
        <v>919875.57</v>
      </c>
      <c r="K61" s="35">
        <v>9144.39</v>
      </c>
      <c r="L61" s="37">
        <f t="shared" si="2"/>
        <v>9.8430500890422205E-3</v>
      </c>
      <c r="M61" s="36">
        <f t="shared" si="3"/>
        <v>929019.96</v>
      </c>
      <c r="N61" s="37">
        <f t="shared" si="6"/>
        <v>3.2285657016758694E-2</v>
      </c>
      <c r="O61" s="38">
        <v>1176.3399999999999</v>
      </c>
      <c r="P61" s="39">
        <v>663</v>
      </c>
      <c r="Q61" s="40">
        <v>0.66830000000000001</v>
      </c>
      <c r="R61" s="52"/>
      <c r="S61" s="53"/>
      <c r="T61" s="43">
        <f>SUM(M50:M61)</f>
        <v>7607329.3100000005</v>
      </c>
      <c r="U61" s="44">
        <f>(T61-T49)/T49</f>
        <v>0.73054107857565265</v>
      </c>
      <c r="V61" s="45">
        <f>V49+1</f>
        <v>2021</v>
      </c>
      <c r="W61" s="54"/>
      <c r="X61" s="55"/>
    </row>
    <row r="62" spans="1:24" x14ac:dyDescent="0.25">
      <c r="A62" s="56">
        <f t="shared" si="0"/>
        <v>44562</v>
      </c>
      <c r="B62" s="21">
        <v>44562</v>
      </c>
      <c r="C62" s="22">
        <v>2022</v>
      </c>
      <c r="D62" s="22">
        <v>1</v>
      </c>
      <c r="E62" s="22" t="s">
        <v>18</v>
      </c>
      <c r="F62" s="23">
        <v>1096922.8999999999</v>
      </c>
      <c r="G62" s="23">
        <v>140937.04999999999</v>
      </c>
      <c r="H62" s="23">
        <v>42535</v>
      </c>
      <c r="I62" s="23">
        <v>0</v>
      </c>
      <c r="J62" s="24">
        <f t="shared" si="1"/>
        <v>1280394.95</v>
      </c>
      <c r="K62" s="23">
        <v>13022.3</v>
      </c>
      <c r="L62" s="25">
        <f t="shared" si="2"/>
        <v>1.0068135398689015E-2</v>
      </c>
      <c r="M62" s="24">
        <f t="shared" si="3"/>
        <v>1293417.25</v>
      </c>
      <c r="N62" s="25">
        <f t="shared" si="6"/>
        <v>0.19356297206947615</v>
      </c>
      <c r="O62" s="26">
        <v>1247.1600000000001</v>
      </c>
      <c r="P62" s="27">
        <v>873</v>
      </c>
      <c r="Q62" s="28">
        <v>0.88</v>
      </c>
      <c r="R62" s="48"/>
      <c r="S62" s="48"/>
      <c r="X62" s="5"/>
    </row>
    <row r="63" spans="1:24" x14ac:dyDescent="0.25">
      <c r="A63" s="56">
        <f t="shared" si="0"/>
        <v>44593</v>
      </c>
      <c r="B63" s="21">
        <v>44593</v>
      </c>
      <c r="C63" s="22">
        <v>2022</v>
      </c>
      <c r="D63" s="22">
        <v>2</v>
      </c>
      <c r="E63" s="22" t="s">
        <v>19</v>
      </c>
      <c r="F63" s="23">
        <v>473843.14</v>
      </c>
      <c r="G63" s="23">
        <v>58972.37</v>
      </c>
      <c r="H63" s="23">
        <v>24960</v>
      </c>
      <c r="I63" s="23">
        <v>0</v>
      </c>
      <c r="J63" s="24">
        <f t="shared" si="1"/>
        <v>557775.51</v>
      </c>
      <c r="K63" s="23">
        <v>6088.3</v>
      </c>
      <c r="L63" s="25">
        <f t="shared" si="2"/>
        <v>1.0797465437620477E-2</v>
      </c>
      <c r="M63" s="24">
        <f t="shared" si="3"/>
        <v>563863.81000000006</v>
      </c>
      <c r="N63" s="25">
        <f t="shared" si="6"/>
        <v>0.23163338523897825</v>
      </c>
      <c r="O63" s="26">
        <v>1117.55</v>
      </c>
      <c r="P63" s="27">
        <v>423</v>
      </c>
      <c r="Q63" s="28">
        <v>0.45100000000000001</v>
      </c>
      <c r="R63" s="48"/>
      <c r="S63" s="48"/>
      <c r="X63" s="5"/>
    </row>
    <row r="64" spans="1:24" x14ac:dyDescent="0.25">
      <c r="A64" s="56">
        <f t="shared" si="0"/>
        <v>44621</v>
      </c>
      <c r="B64" s="21">
        <v>44621</v>
      </c>
      <c r="C64" s="22">
        <v>2022</v>
      </c>
      <c r="D64" s="22">
        <v>3</v>
      </c>
      <c r="E64" s="22" t="s">
        <v>20</v>
      </c>
      <c r="F64" s="23">
        <v>511453.21</v>
      </c>
      <c r="G64" s="23">
        <v>74851.64</v>
      </c>
      <c r="H64" s="23">
        <v>29033.439999999999</v>
      </c>
      <c r="I64" s="23">
        <v>0</v>
      </c>
      <c r="J64" s="24">
        <f t="shared" si="1"/>
        <v>615338.28999999992</v>
      </c>
      <c r="K64" s="23">
        <v>7223.89</v>
      </c>
      <c r="L64" s="25">
        <f t="shared" si="2"/>
        <v>1.1603483526737846E-2</v>
      </c>
      <c r="M64" s="24">
        <f t="shared" si="3"/>
        <v>622562.17999999993</v>
      </c>
      <c r="N64" s="25">
        <f t="shared" si="6"/>
        <v>0.82932339659877963</v>
      </c>
      <c r="O64" s="26">
        <v>856.97</v>
      </c>
      <c r="P64" s="27">
        <v>590</v>
      </c>
      <c r="Q64" s="28">
        <v>0.55979999999999996</v>
      </c>
      <c r="R64" s="48"/>
      <c r="S64" s="48"/>
      <c r="X64" s="5"/>
    </row>
    <row r="65" spans="1:24" x14ac:dyDescent="0.25">
      <c r="A65" s="56">
        <f t="shared" si="0"/>
        <v>44652</v>
      </c>
      <c r="B65" s="21">
        <v>44652</v>
      </c>
      <c r="C65" s="22">
        <v>2022</v>
      </c>
      <c r="D65" s="22">
        <v>4</v>
      </c>
      <c r="E65" s="22" t="s">
        <v>21</v>
      </c>
      <c r="F65" s="23">
        <v>464730.51</v>
      </c>
      <c r="G65" s="23">
        <v>59700.989999999991</v>
      </c>
      <c r="H65" s="23">
        <v>22710</v>
      </c>
      <c r="I65" s="23">
        <v>0</v>
      </c>
      <c r="J65" s="24">
        <f t="shared" si="1"/>
        <v>547141.5</v>
      </c>
      <c r="K65" s="23">
        <v>5842.41</v>
      </c>
      <c r="L65" s="25">
        <f t="shared" si="2"/>
        <v>1.0565244113522217E-2</v>
      </c>
      <c r="M65" s="24">
        <f t="shared" si="3"/>
        <v>552983.91</v>
      </c>
      <c r="N65" s="25">
        <f t="shared" si="6"/>
        <v>0.89064708988808117</v>
      </c>
      <c r="O65" s="26">
        <v>987.83</v>
      </c>
      <c r="P65" s="27">
        <v>463</v>
      </c>
      <c r="Q65" s="28">
        <v>0.45390000000000003</v>
      </c>
      <c r="R65" s="48"/>
      <c r="S65" s="48"/>
      <c r="X65" s="5"/>
    </row>
    <row r="66" spans="1:24" x14ac:dyDescent="0.25">
      <c r="A66" s="56">
        <f t="shared" si="0"/>
        <v>44682</v>
      </c>
      <c r="B66" s="21">
        <v>44682</v>
      </c>
      <c r="C66" s="22">
        <v>2022</v>
      </c>
      <c r="D66" s="22">
        <v>5</v>
      </c>
      <c r="E66" s="22" t="s">
        <v>22</v>
      </c>
      <c r="F66" s="23">
        <v>265970.53999999998</v>
      </c>
      <c r="G66" s="23">
        <v>48048.020000000004</v>
      </c>
      <c r="H66" s="23">
        <v>27248</v>
      </c>
      <c r="I66" s="23">
        <v>0</v>
      </c>
      <c r="J66" s="24">
        <f t="shared" si="1"/>
        <v>341266.56</v>
      </c>
      <c r="K66" s="23">
        <v>4529.8999999999996</v>
      </c>
      <c r="L66" s="25">
        <f t="shared" si="2"/>
        <v>1.3099902757824645E-2</v>
      </c>
      <c r="M66" s="24">
        <f t="shared" si="3"/>
        <v>345796.46</v>
      </c>
      <c r="N66" s="49">
        <f t="shared" si="6"/>
        <v>-0.16938115428088713</v>
      </c>
      <c r="O66" s="26">
        <v>844.35</v>
      </c>
      <c r="P66" s="27">
        <v>312</v>
      </c>
      <c r="Q66" s="28">
        <v>0.29599999999999999</v>
      </c>
      <c r="R66" s="48"/>
      <c r="S66" s="48"/>
      <c r="X66" s="5"/>
    </row>
    <row r="67" spans="1:24" x14ac:dyDescent="0.25">
      <c r="A67" s="56">
        <f t="shared" ref="A67:A121" si="8">DATE(C67,D67,1)</f>
        <v>44713</v>
      </c>
      <c r="B67" s="21">
        <v>44713</v>
      </c>
      <c r="C67" s="22">
        <v>2022</v>
      </c>
      <c r="D67" s="22">
        <v>6</v>
      </c>
      <c r="E67" s="22" t="s">
        <v>23</v>
      </c>
      <c r="F67" s="23">
        <v>335503.75</v>
      </c>
      <c r="G67" s="23">
        <v>57257.7</v>
      </c>
      <c r="H67" s="23">
        <v>19110</v>
      </c>
      <c r="I67" s="23">
        <v>0</v>
      </c>
      <c r="J67" s="24">
        <f t="shared" ref="J67:J85" si="9">SUM(F67:I67)</f>
        <v>411871.45</v>
      </c>
      <c r="K67" s="23">
        <v>5600.7</v>
      </c>
      <c r="L67" s="25">
        <f t="shared" ref="L67:L121" si="10">IF(K67=0,"",K67/M67)</f>
        <v>1.341574521797442E-2</v>
      </c>
      <c r="M67" s="24">
        <f t="shared" ref="M67:M121" si="11">SUM(J67:K67)</f>
        <v>417472.15</v>
      </c>
      <c r="N67" s="49">
        <f t="shared" si="6"/>
        <v>-0.16028175060289257</v>
      </c>
      <c r="O67" s="26">
        <v>862.48</v>
      </c>
      <c r="P67" s="27">
        <v>389</v>
      </c>
      <c r="Q67" s="28">
        <v>0.38140000000000002</v>
      </c>
      <c r="R67" s="48"/>
      <c r="S67" s="48"/>
      <c r="X67" s="5"/>
    </row>
    <row r="68" spans="1:24" x14ac:dyDescent="0.25">
      <c r="A68" s="56">
        <f t="shared" si="8"/>
        <v>44743</v>
      </c>
      <c r="B68" s="21">
        <v>44743</v>
      </c>
      <c r="C68" s="22">
        <v>2022</v>
      </c>
      <c r="D68" s="22">
        <v>7</v>
      </c>
      <c r="E68" s="22" t="s">
        <v>24</v>
      </c>
      <c r="F68" s="23">
        <v>546669.11</v>
      </c>
      <c r="G68" s="23">
        <v>77351</v>
      </c>
      <c r="H68" s="23">
        <v>38020</v>
      </c>
      <c r="I68" s="23">
        <v>0</v>
      </c>
      <c r="J68" s="24">
        <f t="shared" si="9"/>
        <v>662040.11</v>
      </c>
      <c r="K68" s="23">
        <v>7666.03</v>
      </c>
      <c r="L68" s="25">
        <f t="shared" si="10"/>
        <v>1.1446856377933162E-2</v>
      </c>
      <c r="M68" s="24">
        <f t="shared" si="11"/>
        <v>669706.14</v>
      </c>
      <c r="N68" s="49">
        <f t="shared" si="6"/>
        <v>-0.21355265692874426</v>
      </c>
      <c r="O68" s="26">
        <v>911.12</v>
      </c>
      <c r="P68" s="27">
        <v>595</v>
      </c>
      <c r="Q68" s="28">
        <v>0.5645</v>
      </c>
      <c r="R68" s="48"/>
      <c r="S68" s="48"/>
      <c r="X68" s="5"/>
    </row>
    <row r="69" spans="1:24" x14ac:dyDescent="0.25">
      <c r="A69" s="56">
        <f t="shared" si="8"/>
        <v>44774</v>
      </c>
      <c r="B69" s="21">
        <v>44774</v>
      </c>
      <c r="C69" s="22">
        <v>2022</v>
      </c>
      <c r="D69" s="22">
        <v>8</v>
      </c>
      <c r="E69" s="22" t="s">
        <v>25</v>
      </c>
      <c r="F69" s="23">
        <v>285378.26</v>
      </c>
      <c r="G69" s="23">
        <v>42540.2</v>
      </c>
      <c r="H69" s="23">
        <v>31055</v>
      </c>
      <c r="I69" s="23">
        <v>0</v>
      </c>
      <c r="J69" s="24">
        <f t="shared" si="9"/>
        <v>358973.46</v>
      </c>
      <c r="K69" s="23">
        <v>4161.62</v>
      </c>
      <c r="L69" s="25">
        <f t="shared" si="10"/>
        <v>1.1460253302985763E-2</v>
      </c>
      <c r="M69" s="24">
        <f t="shared" si="11"/>
        <v>363135.08</v>
      </c>
      <c r="N69" s="49">
        <f t="shared" si="6"/>
        <v>-0.3354551208631068</v>
      </c>
      <c r="O69" s="26">
        <v>908.85</v>
      </c>
      <c r="P69" s="27">
        <v>318</v>
      </c>
      <c r="Q69" s="28">
        <v>0.30170000000000002</v>
      </c>
      <c r="R69" s="48"/>
      <c r="S69" s="48"/>
      <c r="X69" s="5"/>
    </row>
    <row r="70" spans="1:24" x14ac:dyDescent="0.25">
      <c r="A70" s="56">
        <f t="shared" si="8"/>
        <v>44805</v>
      </c>
      <c r="B70" s="21">
        <v>44805</v>
      </c>
      <c r="C70" s="22">
        <v>2022</v>
      </c>
      <c r="D70" s="22">
        <v>9</v>
      </c>
      <c r="E70" s="22" t="s">
        <v>26</v>
      </c>
      <c r="F70" s="23">
        <v>403350.28</v>
      </c>
      <c r="G70" s="23">
        <v>63621.600000000006</v>
      </c>
      <c r="H70" s="23">
        <v>19850</v>
      </c>
      <c r="I70" s="23">
        <v>0</v>
      </c>
      <c r="J70" s="24">
        <f t="shared" si="9"/>
        <v>486821.88</v>
      </c>
      <c r="K70" s="23">
        <v>6200.7</v>
      </c>
      <c r="L70" s="25">
        <f t="shared" si="10"/>
        <v>1.2576908749290955E-2</v>
      </c>
      <c r="M70" s="24">
        <f t="shared" si="11"/>
        <v>493022.58</v>
      </c>
      <c r="N70" s="49">
        <f t="shared" si="6"/>
        <v>-0.32664997344964497</v>
      </c>
      <c r="O70" s="26">
        <v>983.78</v>
      </c>
      <c r="P70" s="27">
        <v>409</v>
      </c>
      <c r="Q70" s="28">
        <v>0.40100000000000002</v>
      </c>
      <c r="R70" s="48"/>
      <c r="S70" s="48"/>
      <c r="T70" s="50" t="s">
        <v>14</v>
      </c>
      <c r="U70" s="45">
        <f>C62</f>
        <v>2022</v>
      </c>
      <c r="W70" s="3" t="s">
        <v>30</v>
      </c>
      <c r="X70" s="5"/>
    </row>
    <row r="71" spans="1:24" x14ac:dyDescent="0.25">
      <c r="A71" s="56">
        <f t="shared" si="8"/>
        <v>44835</v>
      </c>
      <c r="B71" s="21">
        <v>44835</v>
      </c>
      <c r="C71" s="22">
        <v>2022</v>
      </c>
      <c r="D71" s="22">
        <v>10</v>
      </c>
      <c r="E71" s="22" t="s">
        <v>27</v>
      </c>
      <c r="F71" s="23">
        <v>512136.7</v>
      </c>
      <c r="G71" s="23">
        <v>74090.570000000007</v>
      </c>
      <c r="H71" s="23">
        <v>31855</v>
      </c>
      <c r="I71" s="23">
        <v>0</v>
      </c>
      <c r="J71" s="24">
        <f t="shared" si="9"/>
        <v>618082.27</v>
      </c>
      <c r="K71" s="23">
        <v>7156.65</v>
      </c>
      <c r="L71" s="25">
        <f t="shared" si="10"/>
        <v>1.144626441361008E-2</v>
      </c>
      <c r="M71" s="24">
        <f t="shared" si="11"/>
        <v>625238.92000000004</v>
      </c>
      <c r="N71" s="49">
        <f t="shared" si="6"/>
        <v>-0.15934803134979514</v>
      </c>
      <c r="O71" s="26">
        <v>994.44</v>
      </c>
      <c r="P71" s="27">
        <v>515</v>
      </c>
      <c r="Q71" s="28">
        <v>0.48859999999999998</v>
      </c>
      <c r="R71" s="48"/>
      <c r="S71" s="48"/>
      <c r="T71" s="51">
        <f>AVERAGEIF(O62:O73,"&gt;1")</f>
        <v>1002.2941666666667</v>
      </c>
      <c r="U71" s="44">
        <f>(T71-T59)/T59</f>
        <v>8.9795677977619684E-2</v>
      </c>
      <c r="W71" s="44">
        <f>AVERAGEIF(Q62:Q73,"&gt;1%")</f>
        <v>0.47960000000000003</v>
      </c>
      <c r="X71" s="5"/>
    </row>
    <row r="72" spans="1:24" x14ac:dyDescent="0.25">
      <c r="A72" s="56">
        <f t="shared" si="8"/>
        <v>44866</v>
      </c>
      <c r="B72" s="21">
        <v>44866</v>
      </c>
      <c r="C72" s="22">
        <v>2022</v>
      </c>
      <c r="D72" s="22">
        <v>11</v>
      </c>
      <c r="E72" s="22" t="s">
        <v>28</v>
      </c>
      <c r="F72" s="23">
        <v>518525.73</v>
      </c>
      <c r="G72" s="23">
        <v>75359.969999999987</v>
      </c>
      <c r="H72" s="23">
        <v>30844.99</v>
      </c>
      <c r="I72" s="23">
        <v>0</v>
      </c>
      <c r="J72" s="24">
        <f t="shared" si="9"/>
        <v>624730.68999999994</v>
      </c>
      <c r="K72" s="23">
        <v>7352.7</v>
      </c>
      <c r="L72" s="25">
        <f t="shared" si="10"/>
        <v>1.1632484125235439E-2</v>
      </c>
      <c r="M72" s="24">
        <f t="shared" si="11"/>
        <v>632083.3899999999</v>
      </c>
      <c r="N72" s="49">
        <f t="shared" si="6"/>
        <v>-0.11794718071430522</v>
      </c>
      <c r="O72" s="26">
        <v>956.69</v>
      </c>
      <c r="P72" s="27">
        <v>541</v>
      </c>
      <c r="Q72" s="28">
        <v>0.53039999999999998</v>
      </c>
      <c r="R72" s="48"/>
      <c r="S72" s="48"/>
      <c r="X72" s="5"/>
    </row>
    <row r="73" spans="1:24" x14ac:dyDescent="0.25">
      <c r="A73" s="57">
        <f t="shared" si="8"/>
        <v>44896</v>
      </c>
      <c r="B73" s="33">
        <v>44896</v>
      </c>
      <c r="C73" s="34">
        <v>2022</v>
      </c>
      <c r="D73" s="34">
        <v>12</v>
      </c>
      <c r="E73" s="34" t="s">
        <v>29</v>
      </c>
      <c r="F73" s="35">
        <v>632596.63</v>
      </c>
      <c r="G73" s="35">
        <v>65409.040000000008</v>
      </c>
      <c r="H73" s="35">
        <v>45964</v>
      </c>
      <c r="I73" s="35">
        <v>0</v>
      </c>
      <c r="J73" s="36">
        <f t="shared" si="9"/>
        <v>743969.67</v>
      </c>
      <c r="K73" s="35">
        <v>6319.58</v>
      </c>
      <c r="L73" s="37">
        <f t="shared" si="10"/>
        <v>8.4228582510011973E-3</v>
      </c>
      <c r="M73" s="36">
        <f t="shared" si="11"/>
        <v>750289.25</v>
      </c>
      <c r="N73" s="61">
        <f t="shared" si="6"/>
        <v>-0.19238629706082952</v>
      </c>
      <c r="O73" s="38">
        <v>1356.31</v>
      </c>
      <c r="P73" s="39">
        <v>471</v>
      </c>
      <c r="Q73" s="40">
        <v>0.44690000000000002</v>
      </c>
      <c r="R73" s="52"/>
      <c r="S73" s="53"/>
      <c r="T73" s="43">
        <f>SUM(M62:M73)</f>
        <v>7329571.1200000001</v>
      </c>
      <c r="U73" s="60">
        <f>(T73-T61)/T61</f>
        <v>-3.6511918793219744E-2</v>
      </c>
      <c r="V73" s="45">
        <f>V61+1</f>
        <v>2022</v>
      </c>
      <c r="W73" s="54"/>
      <c r="X73" s="55"/>
    </row>
    <row r="74" spans="1:24" x14ac:dyDescent="0.25">
      <c r="A74" s="56">
        <f t="shared" si="8"/>
        <v>44927</v>
      </c>
      <c r="B74" s="21">
        <v>44927</v>
      </c>
      <c r="C74" s="22">
        <v>2023</v>
      </c>
      <c r="D74" s="22">
        <v>1</v>
      </c>
      <c r="E74" s="22" t="s">
        <v>18</v>
      </c>
      <c r="F74" s="23">
        <v>1054601.78</v>
      </c>
      <c r="G74" s="23">
        <v>162837.59</v>
      </c>
      <c r="H74" s="23">
        <v>48586.54</v>
      </c>
      <c r="I74" s="23">
        <v>0</v>
      </c>
      <c r="J74" s="24">
        <f t="shared" si="9"/>
        <v>1266025.9100000001</v>
      </c>
      <c r="K74" s="23">
        <v>10394.68</v>
      </c>
      <c r="L74" s="25">
        <f t="shared" si="10"/>
        <v>8.143616674187306E-3</v>
      </c>
      <c r="M74" s="24">
        <f t="shared" si="11"/>
        <v>1276420.5900000001</v>
      </c>
      <c r="N74" s="49">
        <f t="shared" si="6"/>
        <v>-1.3140894788591938E-2</v>
      </c>
      <c r="O74" s="26">
        <v>1356.48</v>
      </c>
      <c r="P74" s="27">
        <v>777</v>
      </c>
      <c r="Q74" s="28">
        <v>0.73719999999999997</v>
      </c>
      <c r="R74" s="48"/>
      <c r="S74" s="48"/>
      <c r="X74" s="5"/>
    </row>
    <row r="75" spans="1:24" x14ac:dyDescent="0.25">
      <c r="A75" s="56">
        <f t="shared" si="8"/>
        <v>44958</v>
      </c>
      <c r="B75" s="21">
        <v>44958</v>
      </c>
      <c r="C75" s="22">
        <v>2023</v>
      </c>
      <c r="D75" s="22">
        <v>2</v>
      </c>
      <c r="E75" s="22" t="s">
        <v>19</v>
      </c>
      <c r="F75" s="23">
        <v>523625.64</v>
      </c>
      <c r="G75" s="23">
        <v>69395.47</v>
      </c>
      <c r="H75" s="23">
        <v>45468</v>
      </c>
      <c r="I75" s="23">
        <v>0</v>
      </c>
      <c r="J75" s="24">
        <f t="shared" si="9"/>
        <v>638489.11</v>
      </c>
      <c r="K75" s="23">
        <v>6526.23</v>
      </c>
      <c r="L75" s="25">
        <f t="shared" si="10"/>
        <v>1.0117945411964931E-2</v>
      </c>
      <c r="M75" s="24">
        <f t="shared" si="11"/>
        <v>645015.34</v>
      </c>
      <c r="N75" s="25">
        <f t="shared" si="6"/>
        <v>0.14392044419378486</v>
      </c>
      <c r="O75" s="26">
        <v>1174.05</v>
      </c>
      <c r="P75" s="27">
        <v>440</v>
      </c>
      <c r="Q75" s="28">
        <v>0.4622</v>
      </c>
      <c r="R75" s="48"/>
      <c r="S75" s="48"/>
      <c r="X75" s="5"/>
    </row>
    <row r="76" spans="1:24" x14ac:dyDescent="0.25">
      <c r="A76" s="56">
        <f t="shared" si="8"/>
        <v>44986</v>
      </c>
      <c r="B76" s="21">
        <v>44986</v>
      </c>
      <c r="C76" s="22">
        <v>2023</v>
      </c>
      <c r="D76" s="22">
        <v>3</v>
      </c>
      <c r="E76" s="22" t="s">
        <v>20</v>
      </c>
      <c r="F76" s="23">
        <v>348904.33</v>
      </c>
      <c r="G76" s="23">
        <v>55013.390000000014</v>
      </c>
      <c r="H76" s="23">
        <v>32165</v>
      </c>
      <c r="I76" s="23">
        <v>0</v>
      </c>
      <c r="J76" s="24">
        <f t="shared" si="9"/>
        <v>436082.72000000003</v>
      </c>
      <c r="K76" s="23">
        <v>5343.31</v>
      </c>
      <c r="L76" s="25">
        <f t="shared" si="10"/>
        <v>1.2104655450427335E-2</v>
      </c>
      <c r="M76" s="24">
        <f t="shared" si="11"/>
        <v>441426.03</v>
      </c>
      <c r="N76" s="49">
        <f t="shared" si="6"/>
        <v>-0.29095270451539462</v>
      </c>
      <c r="O76" s="26">
        <v>908.61</v>
      </c>
      <c r="P76" s="27">
        <v>384</v>
      </c>
      <c r="Q76" s="62">
        <v>0.36430000000000001</v>
      </c>
      <c r="R76" s="48"/>
      <c r="S76" s="48"/>
      <c r="X76" s="5"/>
    </row>
    <row r="77" spans="1:24" x14ac:dyDescent="0.25">
      <c r="A77" s="56">
        <f t="shared" si="8"/>
        <v>45017</v>
      </c>
      <c r="B77" s="21">
        <v>45017</v>
      </c>
      <c r="C77" s="22">
        <v>2023</v>
      </c>
      <c r="D77" s="22">
        <v>4</v>
      </c>
      <c r="E77" s="22" t="s">
        <v>21</v>
      </c>
      <c r="F77" s="23">
        <v>353923.44</v>
      </c>
      <c r="G77" s="23">
        <v>54725.3</v>
      </c>
      <c r="H77" s="23">
        <v>34935</v>
      </c>
      <c r="I77" s="23">
        <v>0</v>
      </c>
      <c r="J77" s="24">
        <f t="shared" si="9"/>
        <v>443583.74</v>
      </c>
      <c r="K77" s="23">
        <v>5266.74</v>
      </c>
      <c r="L77" s="25">
        <f t="shared" si="10"/>
        <v>1.1733840632185577E-2</v>
      </c>
      <c r="M77" s="24">
        <f t="shared" si="11"/>
        <v>448850.48</v>
      </c>
      <c r="N77" s="49">
        <f t="shared" si="6"/>
        <v>-0.18831186245545561</v>
      </c>
      <c r="O77" s="26">
        <v>922.53</v>
      </c>
      <c r="P77" s="27">
        <v>382</v>
      </c>
      <c r="Q77" s="62">
        <v>0.3745</v>
      </c>
      <c r="R77" s="48"/>
      <c r="S77" s="48"/>
      <c r="X77" s="5"/>
    </row>
    <row r="78" spans="1:24" x14ac:dyDescent="0.25">
      <c r="A78" s="56">
        <f t="shared" si="8"/>
        <v>45047</v>
      </c>
      <c r="B78" s="21">
        <v>45047</v>
      </c>
      <c r="C78" s="22">
        <v>2023</v>
      </c>
      <c r="D78" s="22">
        <v>5</v>
      </c>
      <c r="E78" s="22" t="s">
        <v>22</v>
      </c>
      <c r="F78" s="23">
        <v>141241.20000000001</v>
      </c>
      <c r="G78" s="23">
        <v>31782.25</v>
      </c>
      <c r="H78" s="23">
        <v>25097.9</v>
      </c>
      <c r="I78" s="23">
        <v>0</v>
      </c>
      <c r="J78" s="24">
        <f t="shared" si="9"/>
        <v>198121.35</v>
      </c>
      <c r="K78" s="23">
        <v>2972.95</v>
      </c>
      <c r="L78" s="25">
        <f t="shared" si="10"/>
        <v>1.4783860109411354E-2</v>
      </c>
      <c r="M78" s="24">
        <f t="shared" si="11"/>
        <v>201094.30000000002</v>
      </c>
      <c r="N78" s="49">
        <f t="shared" si="6"/>
        <v>-0.41846050130183515</v>
      </c>
      <c r="O78" s="26">
        <v>695.77</v>
      </c>
      <c r="P78" s="27">
        <v>201</v>
      </c>
      <c r="Q78" s="62">
        <v>0.19070000000000001</v>
      </c>
      <c r="R78" s="48"/>
      <c r="S78" s="48"/>
      <c r="X78" s="5"/>
    </row>
    <row r="79" spans="1:24" x14ac:dyDescent="0.25">
      <c r="A79" s="56">
        <f t="shared" si="8"/>
        <v>45078</v>
      </c>
      <c r="B79" s="21">
        <v>45078</v>
      </c>
      <c r="C79" s="22">
        <v>2023</v>
      </c>
      <c r="D79" s="22">
        <v>6</v>
      </c>
      <c r="E79" s="22" t="s">
        <v>23</v>
      </c>
      <c r="F79" s="23">
        <v>212503</v>
      </c>
      <c r="G79" s="23">
        <v>36854.699999999997</v>
      </c>
      <c r="H79" s="23">
        <v>22515</v>
      </c>
      <c r="I79" s="23">
        <v>0</v>
      </c>
      <c r="J79" s="24">
        <f t="shared" si="9"/>
        <v>271872.7</v>
      </c>
      <c r="K79" s="23">
        <v>3575.9</v>
      </c>
      <c r="L79" s="25">
        <f t="shared" si="10"/>
        <v>1.2982095389121599E-2</v>
      </c>
      <c r="M79" s="24">
        <f t="shared" si="11"/>
        <v>275448.60000000003</v>
      </c>
      <c r="N79" s="49">
        <f t="shared" si="6"/>
        <v>-0.34019886116954146</v>
      </c>
      <c r="O79" s="26">
        <v>965.92</v>
      </c>
      <c r="P79" s="27">
        <v>220</v>
      </c>
      <c r="Q79" s="62">
        <v>0.2157</v>
      </c>
      <c r="R79" s="48"/>
      <c r="S79" s="48"/>
      <c r="X79" s="5"/>
    </row>
    <row r="80" spans="1:24" x14ac:dyDescent="0.25">
      <c r="A80" s="56">
        <f t="shared" si="8"/>
        <v>45108</v>
      </c>
      <c r="B80" s="21">
        <v>45108</v>
      </c>
      <c r="C80" s="22">
        <v>2023</v>
      </c>
      <c r="D80" s="22">
        <v>7</v>
      </c>
      <c r="E80" s="22" t="s">
        <v>24</v>
      </c>
      <c r="F80" s="23">
        <v>317028.45</v>
      </c>
      <c r="G80" s="23">
        <v>48783.329999999994</v>
      </c>
      <c r="H80" s="23">
        <v>31035</v>
      </c>
      <c r="I80" s="23">
        <v>0</v>
      </c>
      <c r="J80" s="24">
        <f t="shared" si="9"/>
        <v>396846.78</v>
      </c>
      <c r="K80" s="23">
        <v>4735.97</v>
      </c>
      <c r="L80" s="25">
        <f t="shared" si="10"/>
        <v>1.1793260542192114E-2</v>
      </c>
      <c r="M80" s="24">
        <f t="shared" si="11"/>
        <v>401582.75</v>
      </c>
      <c r="N80" s="49">
        <f t="shared" si="6"/>
        <v>-0.40035976077507668</v>
      </c>
      <c r="O80" s="26">
        <v>1048.28</v>
      </c>
      <c r="P80" s="27">
        <v>300</v>
      </c>
      <c r="Q80" s="62">
        <v>0.28449999999999998</v>
      </c>
      <c r="R80" s="48"/>
      <c r="S80" s="48"/>
      <c r="X80" s="5"/>
    </row>
    <row r="81" spans="1:24" x14ac:dyDescent="0.25">
      <c r="A81" s="56">
        <f t="shared" si="8"/>
        <v>45139</v>
      </c>
      <c r="B81" s="21">
        <v>45139</v>
      </c>
      <c r="C81" s="22">
        <v>2023</v>
      </c>
      <c r="D81" s="22">
        <v>8</v>
      </c>
      <c r="E81" s="22" t="s">
        <v>25</v>
      </c>
      <c r="F81" s="23">
        <v>230679.65</v>
      </c>
      <c r="G81" s="23">
        <v>24707.699999999997</v>
      </c>
      <c r="H81" s="23">
        <v>22215</v>
      </c>
      <c r="I81" s="23">
        <v>0</v>
      </c>
      <c r="J81" s="24">
        <f t="shared" si="9"/>
        <v>277602.34999999998</v>
      </c>
      <c r="K81" s="23">
        <v>2392.9499999999998</v>
      </c>
      <c r="L81" s="25">
        <f t="shared" si="10"/>
        <v>8.5463934573187482E-3</v>
      </c>
      <c r="M81" s="24">
        <f t="shared" si="11"/>
        <v>279995.3</v>
      </c>
      <c r="N81" s="49">
        <f t="shared" si="6"/>
        <v>-0.22895000945653618</v>
      </c>
      <c r="O81" s="26">
        <v>1067.96</v>
      </c>
      <c r="P81" s="27">
        <v>216</v>
      </c>
      <c r="Q81" s="62">
        <v>0.2049</v>
      </c>
      <c r="R81" s="48"/>
      <c r="S81" s="48"/>
      <c r="X81" s="5"/>
    </row>
    <row r="82" spans="1:24" x14ac:dyDescent="0.25">
      <c r="A82" s="56">
        <f t="shared" si="8"/>
        <v>45170</v>
      </c>
      <c r="B82" s="21">
        <v>45170</v>
      </c>
      <c r="C82" s="22">
        <v>2023</v>
      </c>
      <c r="D82" s="22">
        <v>9</v>
      </c>
      <c r="E82" s="22" t="s">
        <v>26</v>
      </c>
      <c r="F82" s="23">
        <v>458736.9</v>
      </c>
      <c r="G82" s="23">
        <v>60498.83</v>
      </c>
      <c r="H82" s="23">
        <v>26960</v>
      </c>
      <c r="I82" s="23">
        <v>0</v>
      </c>
      <c r="J82" s="24">
        <f t="shared" si="9"/>
        <v>546195.73</v>
      </c>
      <c r="K82" s="23">
        <v>5793.9</v>
      </c>
      <c r="L82" s="25">
        <f t="shared" si="10"/>
        <v>1.0496392839843749E-2</v>
      </c>
      <c r="M82" s="24">
        <f t="shared" si="11"/>
        <v>551989.63</v>
      </c>
      <c r="N82" s="25">
        <f t="shared" si="6"/>
        <v>0.11960314272015693</v>
      </c>
      <c r="O82" s="26">
        <v>1189.68</v>
      </c>
      <c r="P82" s="27">
        <v>401</v>
      </c>
      <c r="Q82" s="62">
        <v>0.3931</v>
      </c>
      <c r="R82" s="48"/>
      <c r="S82" s="48"/>
      <c r="T82" s="50" t="s">
        <v>14</v>
      </c>
      <c r="U82" s="45">
        <f>C74</f>
        <v>2023</v>
      </c>
      <c r="W82" s="3" t="s">
        <v>30</v>
      </c>
      <c r="X82" s="5"/>
    </row>
    <row r="83" spans="1:24" x14ac:dyDescent="0.25">
      <c r="A83" s="56">
        <f t="shared" si="8"/>
        <v>45200</v>
      </c>
      <c r="B83" s="21">
        <v>45200</v>
      </c>
      <c r="C83" s="22">
        <v>2023</v>
      </c>
      <c r="D83" s="22">
        <v>10</v>
      </c>
      <c r="E83" s="22" t="s">
        <v>27</v>
      </c>
      <c r="F83" s="23">
        <v>376720.42</v>
      </c>
      <c r="G83" s="23">
        <v>51815.000000000036</v>
      </c>
      <c r="H83" s="23">
        <v>22080</v>
      </c>
      <c r="I83" s="23">
        <v>0</v>
      </c>
      <c r="J83" s="24">
        <f t="shared" si="9"/>
        <v>450615.42000000004</v>
      </c>
      <c r="K83" s="23">
        <v>5039.6000000000004</v>
      </c>
      <c r="L83" s="25">
        <f t="shared" si="10"/>
        <v>1.1060121756147887E-2</v>
      </c>
      <c r="M83" s="24">
        <f t="shared" si="11"/>
        <v>455655.02</v>
      </c>
      <c r="N83" s="49">
        <f t="shared" si="6"/>
        <v>-0.27123055615283836</v>
      </c>
      <c r="O83" s="26">
        <v>1112.6199999999999</v>
      </c>
      <c r="P83" s="27">
        <v>335</v>
      </c>
      <c r="Q83" s="62">
        <v>0.31780000000000003</v>
      </c>
      <c r="R83" s="48"/>
      <c r="S83" s="48"/>
      <c r="T83" s="51">
        <f>AVERAGEIF(O74:O85,"&gt;1")</f>
        <v>1100.0758333333335</v>
      </c>
      <c r="U83" s="44">
        <f>(T83-T71)/T71</f>
        <v>9.7557852692947131E-2</v>
      </c>
      <c r="W83" s="44">
        <f>AVERAGEIF(Q74:Q85,"&gt;1%")</f>
        <v>0.35314166666666669</v>
      </c>
      <c r="X83" s="5"/>
    </row>
    <row r="84" spans="1:24" x14ac:dyDescent="0.25">
      <c r="A84" s="56">
        <f t="shared" si="8"/>
        <v>45231</v>
      </c>
      <c r="B84" s="21">
        <v>45231</v>
      </c>
      <c r="C84" s="22">
        <v>2023</v>
      </c>
      <c r="D84" s="22">
        <v>11</v>
      </c>
      <c r="E84" s="22" t="s">
        <v>28</v>
      </c>
      <c r="F84" s="23">
        <v>286252.28999999998</v>
      </c>
      <c r="G84" s="23">
        <v>49864.36000000003</v>
      </c>
      <c r="H84" s="23">
        <v>28670</v>
      </c>
      <c r="I84" s="23">
        <v>0</v>
      </c>
      <c r="J84" s="24">
        <f t="shared" si="9"/>
        <v>364786.65</v>
      </c>
      <c r="K84" s="23">
        <v>4262.6099999999997</v>
      </c>
      <c r="L84" s="25">
        <f t="shared" si="10"/>
        <v>1.1550246706903029E-2</v>
      </c>
      <c r="M84" s="24">
        <f t="shared" si="11"/>
        <v>369049.26</v>
      </c>
      <c r="N84" s="49">
        <f t="shared" si="6"/>
        <v>-0.41613833579774961</v>
      </c>
      <c r="O84" s="26">
        <v>1086.04</v>
      </c>
      <c r="P84" s="27">
        <v>259</v>
      </c>
      <c r="Q84" s="62">
        <v>0.34460000000000002</v>
      </c>
      <c r="R84" s="48"/>
      <c r="S84" s="48"/>
      <c r="X84" s="5"/>
    </row>
    <row r="85" spans="1:24" x14ac:dyDescent="0.25">
      <c r="A85" s="57">
        <f t="shared" si="8"/>
        <v>45261</v>
      </c>
      <c r="B85" s="33">
        <v>45261</v>
      </c>
      <c r="C85" s="34">
        <v>2023</v>
      </c>
      <c r="D85" s="34">
        <v>12</v>
      </c>
      <c r="E85" s="34" t="s">
        <v>29</v>
      </c>
      <c r="F85" s="35">
        <v>610635.28</v>
      </c>
      <c r="G85" s="35">
        <v>58837.98</v>
      </c>
      <c r="H85" s="35">
        <v>40910</v>
      </c>
      <c r="I85" s="63">
        <v>0</v>
      </c>
      <c r="J85" s="36">
        <f t="shared" si="9"/>
        <v>710383.26</v>
      </c>
      <c r="K85" s="35">
        <v>5810.98</v>
      </c>
      <c r="L85" s="37">
        <f t="shared" si="10"/>
        <v>8.1136927322956413E-3</v>
      </c>
      <c r="M85" s="36">
        <f t="shared" si="11"/>
        <v>716194.24</v>
      </c>
      <c r="N85" s="61">
        <f t="shared" si="6"/>
        <v>-4.5442487680584537E-2</v>
      </c>
      <c r="O85" s="38">
        <v>1672.97</v>
      </c>
      <c r="P85" s="39">
        <v>367</v>
      </c>
      <c r="Q85" s="64">
        <v>0.34820000000000001</v>
      </c>
      <c r="R85" s="52"/>
      <c r="S85" s="53"/>
      <c r="T85" s="43">
        <f>SUM(M74:M85)</f>
        <v>6062721.5399999991</v>
      </c>
      <c r="U85" s="60">
        <f>(T85-T73)/T73</f>
        <v>-0.17284088785811536</v>
      </c>
      <c r="V85" s="45">
        <f>V73+1</f>
        <v>2023</v>
      </c>
      <c r="W85" s="54"/>
      <c r="X85" s="55"/>
    </row>
    <row r="86" spans="1:24" x14ac:dyDescent="0.25">
      <c r="A86" s="56">
        <f t="shared" si="8"/>
        <v>45292</v>
      </c>
      <c r="B86" s="21">
        <v>45292</v>
      </c>
      <c r="C86" s="22">
        <v>2024</v>
      </c>
      <c r="D86" s="22">
        <v>1</v>
      </c>
      <c r="E86" s="22" t="s">
        <v>18</v>
      </c>
      <c r="F86" s="23">
        <v>1046961.55</v>
      </c>
      <c r="G86" s="23">
        <v>104352.64000000004</v>
      </c>
      <c r="H86" s="23">
        <v>46817</v>
      </c>
      <c r="I86" s="23">
        <v>0</v>
      </c>
      <c r="J86" s="24">
        <f>SUM(F86:I86)</f>
        <v>1198131.1900000002</v>
      </c>
      <c r="K86" s="23">
        <v>10066.9</v>
      </c>
      <c r="L86" s="25">
        <f t="shared" si="10"/>
        <v>8.3321601675433853E-3</v>
      </c>
      <c r="M86" s="24">
        <f t="shared" si="11"/>
        <v>1208198.0900000001</v>
      </c>
      <c r="N86" s="49">
        <f t="shared" si="6"/>
        <v>-5.3448291679469066E-2</v>
      </c>
      <c r="O86" s="23">
        <v>1332.01</v>
      </c>
      <c r="P86" s="27">
        <v>784</v>
      </c>
      <c r="Q86" s="28">
        <v>0.74380000000000002</v>
      </c>
      <c r="R86" s="48"/>
      <c r="S86" s="48"/>
      <c r="X86" s="5"/>
    </row>
    <row r="87" spans="1:24" x14ac:dyDescent="0.25">
      <c r="A87" s="56">
        <f t="shared" si="8"/>
        <v>45323</v>
      </c>
      <c r="B87" s="65">
        <v>45323</v>
      </c>
      <c r="C87" s="22">
        <v>2024</v>
      </c>
      <c r="D87" s="22">
        <v>2</v>
      </c>
      <c r="E87" s="22" t="s">
        <v>19</v>
      </c>
      <c r="F87" s="23">
        <v>531375.4</v>
      </c>
      <c r="G87" s="23">
        <v>68704.349999999948</v>
      </c>
      <c r="H87" s="23">
        <v>29249.279999999999</v>
      </c>
      <c r="I87" s="23">
        <v>0</v>
      </c>
      <c r="J87" s="24">
        <f t="shared" ref="J87:J97" si="12">SUM(F87:I87)</f>
        <v>629329.03</v>
      </c>
      <c r="K87" s="23">
        <v>6667.57</v>
      </c>
      <c r="L87" s="25">
        <f t="shared" si="10"/>
        <v>1.0483656673636306E-2</v>
      </c>
      <c r="M87" s="24">
        <f t="shared" si="11"/>
        <v>635996.6</v>
      </c>
      <c r="N87" s="49">
        <f t="shared" si="6"/>
        <v>-1.3982210097514877E-2</v>
      </c>
      <c r="O87" s="23">
        <v>1240.49</v>
      </c>
      <c r="P87" s="66">
        <v>428</v>
      </c>
      <c r="Q87" s="28">
        <v>0.43407707910750509</v>
      </c>
      <c r="R87" s="48"/>
      <c r="S87" s="48"/>
      <c r="X87" s="5"/>
    </row>
    <row r="88" spans="1:24" x14ac:dyDescent="0.25">
      <c r="A88" s="56">
        <f t="shared" si="8"/>
        <v>45352</v>
      </c>
      <c r="B88" s="65">
        <v>45352</v>
      </c>
      <c r="C88" s="67">
        <v>2024</v>
      </c>
      <c r="D88" s="22">
        <v>3</v>
      </c>
      <c r="E88" s="22" t="s">
        <v>20</v>
      </c>
      <c r="F88" s="23">
        <v>465264.6</v>
      </c>
      <c r="G88" s="23">
        <v>69720.46000000005</v>
      </c>
      <c r="H88" s="23">
        <v>34120</v>
      </c>
      <c r="I88" s="23">
        <v>0</v>
      </c>
      <c r="J88" s="24">
        <f t="shared" si="12"/>
        <v>569105.06000000006</v>
      </c>
      <c r="K88" s="23">
        <v>6709.1</v>
      </c>
      <c r="L88" s="25">
        <f t="shared" si="10"/>
        <v>1.1651502283306128E-2</v>
      </c>
      <c r="M88" s="24">
        <f t="shared" si="11"/>
        <v>575814.16</v>
      </c>
      <c r="N88" s="25">
        <f t="shared" si="6"/>
        <v>0.30444088220171339</v>
      </c>
      <c r="O88" s="23">
        <v>981.57</v>
      </c>
      <c r="P88" s="66">
        <v>474</v>
      </c>
      <c r="Q88" s="62">
        <v>0.44969999999999999</v>
      </c>
      <c r="R88" s="48"/>
      <c r="S88" s="48"/>
      <c r="X88" s="5"/>
    </row>
    <row r="89" spans="1:24" x14ac:dyDescent="0.25">
      <c r="A89" s="56">
        <f t="shared" si="8"/>
        <v>45383</v>
      </c>
      <c r="B89" s="65">
        <v>45383</v>
      </c>
      <c r="C89" s="67">
        <v>2024</v>
      </c>
      <c r="D89" s="22">
        <v>4</v>
      </c>
      <c r="E89" s="22" t="s">
        <v>21</v>
      </c>
      <c r="F89" s="23">
        <v>271440.71000000002</v>
      </c>
      <c r="G89" s="23">
        <v>37920.999999999978</v>
      </c>
      <c r="H89" s="23">
        <v>24020</v>
      </c>
      <c r="I89" s="23">
        <v>0</v>
      </c>
      <c r="J89" s="24">
        <f t="shared" si="12"/>
        <v>333381.71000000002</v>
      </c>
      <c r="K89" s="23">
        <v>3478.1</v>
      </c>
      <c r="L89" s="25">
        <f t="shared" si="10"/>
        <v>1.0325066679815559E-2</v>
      </c>
      <c r="M89" s="24">
        <f t="shared" si="11"/>
        <v>336859.81</v>
      </c>
      <c r="N89" s="49">
        <f t="shared" si="6"/>
        <v>-0.24950551462036977</v>
      </c>
      <c r="O89" s="23">
        <v>979.93</v>
      </c>
      <c r="P89" s="66">
        <v>278</v>
      </c>
      <c r="Q89" s="62">
        <v>0.27250000000000002</v>
      </c>
      <c r="R89" s="48"/>
      <c r="S89" s="48"/>
      <c r="X89" s="5"/>
    </row>
    <row r="90" spans="1:24" x14ac:dyDescent="0.25">
      <c r="A90" s="56">
        <f t="shared" si="8"/>
        <v>45413</v>
      </c>
      <c r="B90" s="65">
        <v>45413</v>
      </c>
      <c r="C90" s="67">
        <v>2024</v>
      </c>
      <c r="D90" s="22">
        <v>5</v>
      </c>
      <c r="E90" s="22" t="s">
        <v>22</v>
      </c>
      <c r="F90" s="23">
        <v>226474.02</v>
      </c>
      <c r="G90" s="23">
        <v>29357.49000000002</v>
      </c>
      <c r="H90" s="23">
        <v>28800</v>
      </c>
      <c r="I90" s="23">
        <v>0</v>
      </c>
      <c r="J90" s="24">
        <f t="shared" si="12"/>
        <v>284631.51</v>
      </c>
      <c r="K90" s="23">
        <v>2841</v>
      </c>
      <c r="L90" s="25">
        <f t="shared" si="10"/>
        <v>9.8826840869062575E-3</v>
      </c>
      <c r="M90" s="24">
        <f t="shared" si="11"/>
        <v>287472.51</v>
      </c>
      <c r="N90" s="68">
        <f t="shared" si="6"/>
        <v>0.42954081741750005</v>
      </c>
      <c r="O90" s="23">
        <v>947.59</v>
      </c>
      <c r="P90" s="66">
        <v>239</v>
      </c>
      <c r="Q90" s="62">
        <v>0.2268</v>
      </c>
      <c r="R90" s="48"/>
      <c r="S90" s="48"/>
      <c r="X90" s="5"/>
    </row>
    <row r="91" spans="1:24" x14ac:dyDescent="0.25">
      <c r="A91" s="56">
        <f t="shared" si="8"/>
        <v>45444</v>
      </c>
      <c r="B91" s="65">
        <v>45444</v>
      </c>
      <c r="C91" s="67">
        <v>2024</v>
      </c>
      <c r="D91" s="22">
        <v>6</v>
      </c>
      <c r="E91" s="22" t="s">
        <v>23</v>
      </c>
      <c r="F91" s="23">
        <v>276744.11</v>
      </c>
      <c r="G91" s="23">
        <v>43827.020000000004</v>
      </c>
      <c r="H91" s="23">
        <v>25045</v>
      </c>
      <c r="I91" s="23">
        <v>0</v>
      </c>
      <c r="J91" s="24">
        <f t="shared" si="12"/>
        <v>345616.13</v>
      </c>
      <c r="K91" s="23">
        <v>4229.1000000000004</v>
      </c>
      <c r="L91" s="25">
        <f t="shared" si="10"/>
        <v>1.2088488386707461E-2</v>
      </c>
      <c r="M91" s="24">
        <f t="shared" si="11"/>
        <v>349845.23</v>
      </c>
      <c r="N91" s="49">
        <f t="shared" si="6"/>
        <v>0.27009260529913726</v>
      </c>
      <c r="O91" s="23">
        <v>934.95</v>
      </c>
      <c r="P91" s="66">
        <v>290</v>
      </c>
      <c r="Q91" s="62">
        <v>0.2843</v>
      </c>
      <c r="R91" s="48"/>
      <c r="S91" s="48"/>
      <c r="T91" s="50" t="s">
        <v>14</v>
      </c>
      <c r="U91" s="45">
        <f>C86</f>
        <v>2024</v>
      </c>
      <c r="W91" s="3" t="s">
        <v>30</v>
      </c>
      <c r="X91" s="5"/>
    </row>
    <row r="92" spans="1:24" x14ac:dyDescent="0.25">
      <c r="A92" s="56">
        <f t="shared" si="8"/>
        <v>45474</v>
      </c>
      <c r="B92" s="65">
        <v>45474</v>
      </c>
      <c r="C92" s="67">
        <v>2024</v>
      </c>
      <c r="D92" s="22">
        <v>7</v>
      </c>
      <c r="E92" s="22" t="s">
        <v>24</v>
      </c>
      <c r="F92" s="23">
        <v>293294.2</v>
      </c>
      <c r="G92" s="23">
        <v>30357</v>
      </c>
      <c r="H92" s="23">
        <v>29410</v>
      </c>
      <c r="I92" s="23">
        <v>0</v>
      </c>
      <c r="J92" s="24">
        <f t="shared" si="12"/>
        <v>353061.2</v>
      </c>
      <c r="K92" s="23">
        <v>2907.5</v>
      </c>
      <c r="L92" s="25">
        <f t="shared" si="10"/>
        <v>8.167852960105762E-3</v>
      </c>
      <c r="M92" s="24">
        <f t="shared" si="11"/>
        <v>355968.7</v>
      </c>
      <c r="N92" s="49">
        <f t="shared" si="6"/>
        <v>-0.11358568065983907</v>
      </c>
      <c r="O92" s="23">
        <v>1043.75</v>
      </c>
      <c r="P92" s="66">
        <v>281</v>
      </c>
      <c r="Q92" s="62">
        <v>0.2666</v>
      </c>
      <c r="R92" s="48"/>
      <c r="S92" s="48"/>
      <c r="T92" s="51">
        <f>AVERAGEIF(O86:O97,"&gt;1")</f>
        <v>1142.5200000000002</v>
      </c>
      <c r="U92" s="44">
        <f>(T92-T83)/T83</f>
        <v>3.8582946175680297E-2</v>
      </c>
      <c r="W92" s="44">
        <f>AVERAGEIF(Q86:Q97,"&gt;1%")</f>
        <v>0.39947308992562541</v>
      </c>
      <c r="X92" s="5"/>
    </row>
    <row r="93" spans="1:24" x14ac:dyDescent="0.25">
      <c r="A93" s="56">
        <f t="shared" si="8"/>
        <v>45505</v>
      </c>
      <c r="B93" s="65">
        <v>45505</v>
      </c>
      <c r="C93" s="67">
        <v>2024</v>
      </c>
      <c r="D93" s="22">
        <v>8</v>
      </c>
      <c r="E93" s="22" t="s">
        <v>25</v>
      </c>
      <c r="F93" s="23">
        <v>363167.37</v>
      </c>
      <c r="G93" s="23">
        <v>38078.109999999986</v>
      </c>
      <c r="H93" s="23">
        <v>34445</v>
      </c>
      <c r="I93" s="23">
        <v>0</v>
      </c>
      <c r="J93" s="24">
        <f t="shared" si="12"/>
        <v>435690.48</v>
      </c>
      <c r="K93" s="23">
        <v>3652.81</v>
      </c>
      <c r="L93" s="25">
        <f t="shared" si="10"/>
        <v>8.3142501163497914E-3</v>
      </c>
      <c r="M93" s="24">
        <f t="shared" si="11"/>
        <v>439343.29</v>
      </c>
      <c r="N93" s="49">
        <f t="shared" si="6"/>
        <v>0.56910951719546721</v>
      </c>
      <c r="O93" s="23">
        <v>1124.3599999999999</v>
      </c>
      <c r="P93" s="66">
        <v>323</v>
      </c>
      <c r="Q93" s="62">
        <v>0.30649999999999999</v>
      </c>
      <c r="R93" s="48"/>
      <c r="S93" s="48"/>
      <c r="X93" s="5"/>
    </row>
    <row r="94" spans="1:24" x14ac:dyDescent="0.25">
      <c r="A94" s="56">
        <f t="shared" si="8"/>
        <v>45536</v>
      </c>
      <c r="B94" s="65">
        <v>45536</v>
      </c>
      <c r="C94" s="67">
        <v>2024</v>
      </c>
      <c r="D94" s="22">
        <v>9</v>
      </c>
      <c r="E94" s="22" t="s">
        <v>26</v>
      </c>
      <c r="F94" s="23">
        <v>416964.19</v>
      </c>
      <c r="G94" s="23">
        <v>50081.100000000006</v>
      </c>
      <c r="H94" s="23">
        <v>34180</v>
      </c>
      <c r="I94" s="23">
        <v>0</v>
      </c>
      <c r="J94" s="24">
        <f t="shared" si="12"/>
        <v>501225.29000000004</v>
      </c>
      <c r="K94" s="23">
        <v>4784.53</v>
      </c>
      <c r="L94" s="25">
        <f t="shared" si="10"/>
        <v>9.4554093831617711E-3</v>
      </c>
      <c r="M94" s="24">
        <f t="shared" si="11"/>
        <v>506009.82000000007</v>
      </c>
      <c r="N94" s="25">
        <f t="shared" si="6"/>
        <v>-8.3298322107971376E-2</v>
      </c>
      <c r="O94" s="23">
        <v>1181.2</v>
      </c>
      <c r="P94" s="66">
        <v>355</v>
      </c>
      <c r="Q94" s="62">
        <v>0.34799999999999998</v>
      </c>
      <c r="R94" s="48"/>
      <c r="S94" s="48"/>
      <c r="X94" s="5"/>
    </row>
    <row r="95" spans="1:24" x14ac:dyDescent="0.25">
      <c r="A95" s="56">
        <f t="shared" si="8"/>
        <v>45566</v>
      </c>
      <c r="B95" s="65">
        <v>45566</v>
      </c>
      <c r="C95" s="67">
        <v>2024</v>
      </c>
      <c r="D95" s="22">
        <v>10</v>
      </c>
      <c r="E95" s="22" t="s">
        <v>27</v>
      </c>
      <c r="F95" s="23">
        <v>509179.71</v>
      </c>
      <c r="G95" s="23">
        <v>56941.760000000002</v>
      </c>
      <c r="H95" s="23">
        <v>44580</v>
      </c>
      <c r="I95" s="23">
        <v>0</v>
      </c>
      <c r="J95" s="24">
        <f t="shared" si="12"/>
        <v>610701.47</v>
      </c>
      <c r="K95" s="23">
        <v>5494.14</v>
      </c>
      <c r="L95" s="25">
        <f t="shared" si="10"/>
        <v>8.9162271052206955E-3</v>
      </c>
      <c r="M95" s="24">
        <f t="shared" si="11"/>
        <v>616195.61</v>
      </c>
      <c r="N95" s="49">
        <f t="shared" si="6"/>
        <v>0.35232924680605948</v>
      </c>
      <c r="O95" s="23">
        <v>1169.18</v>
      </c>
      <c r="P95" s="66">
        <v>434</v>
      </c>
      <c r="Q95" s="62">
        <v>0.4118</v>
      </c>
      <c r="R95" s="48"/>
      <c r="S95" s="48"/>
      <c r="X95" s="5"/>
    </row>
    <row r="96" spans="1:24" x14ac:dyDescent="0.25">
      <c r="A96" s="56">
        <f t="shared" si="8"/>
        <v>45597</v>
      </c>
      <c r="B96" s="65">
        <v>45597</v>
      </c>
      <c r="C96" s="67">
        <v>2024</v>
      </c>
      <c r="D96" s="22">
        <v>11</v>
      </c>
      <c r="E96" s="22" t="s">
        <v>28</v>
      </c>
      <c r="F96" s="23">
        <v>673717.98</v>
      </c>
      <c r="G96" s="23">
        <v>75153.009999999995</v>
      </c>
      <c r="H96" s="23">
        <v>50790</v>
      </c>
      <c r="I96" s="23">
        <v>0</v>
      </c>
      <c r="J96" s="24">
        <f t="shared" si="12"/>
        <v>799660.99</v>
      </c>
      <c r="K96" s="23">
        <v>7284.5</v>
      </c>
      <c r="L96" s="25">
        <f t="shared" si="10"/>
        <v>9.0272516424870289E-3</v>
      </c>
      <c r="M96" s="24">
        <f t="shared" si="11"/>
        <v>806945.49</v>
      </c>
      <c r="N96" s="49">
        <f t="shared" si="6"/>
        <v>1.1865522505044448</v>
      </c>
      <c r="O96" s="23">
        <v>1166.71</v>
      </c>
      <c r="P96" s="66">
        <v>577</v>
      </c>
      <c r="Q96" s="62">
        <v>0.56569999999999998</v>
      </c>
      <c r="R96" s="48"/>
      <c r="S96" s="48"/>
      <c r="X96" s="5"/>
    </row>
    <row r="97" spans="1:24" x14ac:dyDescent="0.25">
      <c r="A97" s="57">
        <f t="shared" si="8"/>
        <v>45627</v>
      </c>
      <c r="B97" s="69">
        <v>45627</v>
      </c>
      <c r="C97" s="70">
        <v>2024</v>
      </c>
      <c r="D97" s="34">
        <v>12</v>
      </c>
      <c r="E97" s="34" t="s">
        <v>29</v>
      </c>
      <c r="F97" s="63">
        <v>820337.16</v>
      </c>
      <c r="G97" s="63">
        <v>83782.500000000015</v>
      </c>
      <c r="H97" s="63">
        <v>65380</v>
      </c>
      <c r="I97" s="63">
        <v>0</v>
      </c>
      <c r="J97" s="36">
        <f t="shared" si="12"/>
        <v>969499.66</v>
      </c>
      <c r="K97" s="63">
        <v>8229.64</v>
      </c>
      <c r="L97" s="37">
        <f t="shared" si="10"/>
        <v>8.4170945884510153E-3</v>
      </c>
      <c r="M97" s="36">
        <f t="shared" si="11"/>
        <v>977729.3</v>
      </c>
      <c r="N97" s="61">
        <f t="shared" si="6"/>
        <v>0.36517336414210766</v>
      </c>
      <c r="O97" s="63">
        <v>1608.5</v>
      </c>
      <c r="P97" s="71">
        <v>510</v>
      </c>
      <c r="Q97" s="64">
        <v>0.4839</v>
      </c>
      <c r="R97" s="52"/>
      <c r="S97" s="53"/>
      <c r="T97" s="43">
        <f>SUM(M86:M97)</f>
        <v>7096378.6100000003</v>
      </c>
      <c r="U97" s="44">
        <f>(T97-T85)/T85</f>
        <v>0.17049390495345121</v>
      </c>
      <c r="V97" s="45">
        <f>V85+1</f>
        <v>2024</v>
      </c>
      <c r="W97" s="54"/>
      <c r="X97" s="55"/>
    </row>
    <row r="98" spans="1:24" x14ac:dyDescent="0.25">
      <c r="A98" s="56">
        <f t="shared" si="8"/>
        <v>45658</v>
      </c>
      <c r="B98" s="21">
        <v>45658</v>
      </c>
      <c r="C98" s="22">
        <v>2025</v>
      </c>
      <c r="D98" s="22">
        <v>1</v>
      </c>
      <c r="E98" s="22" t="s">
        <v>18</v>
      </c>
      <c r="F98" s="23">
        <v>1255127.1299999999</v>
      </c>
      <c r="G98" s="23">
        <v>119553.82</v>
      </c>
      <c r="H98" s="23">
        <v>75440</v>
      </c>
      <c r="I98" s="23">
        <v>0</v>
      </c>
      <c r="J98" s="24">
        <f>SUM(F98:I98)</f>
        <v>1450120.95</v>
      </c>
      <c r="K98" s="23">
        <v>11549.13</v>
      </c>
      <c r="L98" s="25">
        <f t="shared" si="10"/>
        <v>7.9013247640671424E-3</v>
      </c>
      <c r="M98" s="24">
        <f t="shared" si="11"/>
        <v>1461670.0799999998</v>
      </c>
      <c r="N98" s="49">
        <f t="shared" si="6"/>
        <v>0.20979340399387633</v>
      </c>
      <c r="O98" s="23">
        <v>1590.78</v>
      </c>
      <c r="P98" s="27">
        <v>790</v>
      </c>
      <c r="Q98" s="28">
        <v>0.74950000000000006</v>
      </c>
      <c r="R98" s="48"/>
      <c r="S98" s="48"/>
      <c r="X98" s="5"/>
    </row>
    <row r="99" spans="1:24" x14ac:dyDescent="0.25">
      <c r="A99" s="56">
        <f t="shared" si="8"/>
        <v>45689</v>
      </c>
      <c r="B99" s="65">
        <v>45689</v>
      </c>
      <c r="C99" s="67">
        <v>2025</v>
      </c>
      <c r="D99" s="22">
        <v>2</v>
      </c>
      <c r="E99" s="22" t="s">
        <v>19</v>
      </c>
      <c r="F99" s="23">
        <v>483755.34</v>
      </c>
      <c r="G99" s="23">
        <v>57145.66</v>
      </c>
      <c r="H99" s="23">
        <v>48077</v>
      </c>
      <c r="I99" s="23">
        <v>0</v>
      </c>
      <c r="J99" s="24">
        <f t="shared" ref="J99:J109" si="13">SUM(F99:I99)</f>
        <v>588978</v>
      </c>
      <c r="K99" s="23">
        <v>5546.56</v>
      </c>
      <c r="L99" s="25">
        <f t="shared" si="10"/>
        <v>9.3294043226742392E-3</v>
      </c>
      <c r="M99" s="24">
        <f t="shared" si="11"/>
        <v>594524.56000000006</v>
      </c>
      <c r="N99" s="49">
        <f t="shared" si="6"/>
        <v>-6.5207958658898363E-2</v>
      </c>
      <c r="O99" s="23">
        <v>1256.51</v>
      </c>
      <c r="P99" s="66">
        <v>386</v>
      </c>
      <c r="Q99" s="28">
        <v>0.40550000000000003</v>
      </c>
      <c r="R99" s="48"/>
      <c r="S99" s="48"/>
      <c r="X99" s="5"/>
    </row>
    <row r="100" spans="1:24" x14ac:dyDescent="0.25">
      <c r="A100" s="56">
        <f t="shared" si="8"/>
        <v>45717</v>
      </c>
      <c r="B100" s="65">
        <v>45717</v>
      </c>
      <c r="C100" s="67">
        <v>2025</v>
      </c>
      <c r="D100" s="22">
        <v>3</v>
      </c>
      <c r="E100" s="22" t="s">
        <v>20</v>
      </c>
      <c r="F100" s="23">
        <v>740687.28</v>
      </c>
      <c r="G100" s="23">
        <v>87713.599999999919</v>
      </c>
      <c r="H100" s="23">
        <v>60061</v>
      </c>
      <c r="I100" s="23">
        <v>0</v>
      </c>
      <c r="J100" s="24">
        <f t="shared" si="13"/>
        <v>888461.87999999989</v>
      </c>
      <c r="K100" s="23">
        <v>8416.56</v>
      </c>
      <c r="L100" s="25">
        <f t="shared" si="10"/>
        <v>9.3842817762460652E-3</v>
      </c>
      <c r="M100" s="24">
        <f t="shared" si="11"/>
        <v>896878.44</v>
      </c>
      <c r="N100" s="25">
        <f t="shared" si="6"/>
        <v>0.55758316190070745</v>
      </c>
      <c r="O100" s="23">
        <v>1148.3499999999999</v>
      </c>
      <c r="P100" s="66">
        <v>645</v>
      </c>
      <c r="Q100" s="62">
        <v>0.61199999999999999</v>
      </c>
      <c r="R100" s="48"/>
      <c r="S100" s="48"/>
      <c r="X100" s="5"/>
    </row>
    <row r="101" spans="1:24" x14ac:dyDescent="0.25">
      <c r="A101" s="56">
        <f t="shared" si="8"/>
        <v>45748</v>
      </c>
      <c r="B101" s="65">
        <v>45748</v>
      </c>
      <c r="C101" s="67">
        <v>2025</v>
      </c>
      <c r="D101" s="22">
        <v>4</v>
      </c>
      <c r="E101" s="22" t="s">
        <v>21</v>
      </c>
      <c r="F101" s="23">
        <v>458415.64</v>
      </c>
      <c r="G101" s="23">
        <v>61823.570000000007</v>
      </c>
      <c r="H101" s="23">
        <v>45530</v>
      </c>
      <c r="I101" s="23">
        <v>0</v>
      </c>
      <c r="J101" s="24">
        <f t="shared" si="13"/>
        <v>565769.21</v>
      </c>
      <c r="K101" s="23">
        <v>6024.74</v>
      </c>
      <c r="L101" s="25">
        <f t="shared" si="10"/>
        <v>1.0536557793240031E-2</v>
      </c>
      <c r="M101" s="24">
        <f t="shared" si="11"/>
        <v>571793.94999999995</v>
      </c>
      <c r="N101" s="49">
        <f t="shared" si="6"/>
        <v>0.69742407086200031</v>
      </c>
      <c r="O101" s="23">
        <v>1154.99</v>
      </c>
      <c r="P101" s="66">
        <v>395</v>
      </c>
      <c r="Q101" s="62">
        <v>0.38729999999999998</v>
      </c>
      <c r="R101" s="48"/>
      <c r="S101" s="48"/>
      <c r="X101" s="5"/>
    </row>
    <row r="102" spans="1:24" x14ac:dyDescent="0.25">
      <c r="A102" s="56">
        <f t="shared" si="8"/>
        <v>45778</v>
      </c>
      <c r="B102" s="65">
        <v>45778</v>
      </c>
      <c r="C102" s="67">
        <v>2025</v>
      </c>
      <c r="D102" s="22">
        <v>5</v>
      </c>
      <c r="E102" s="22" t="s">
        <v>22</v>
      </c>
      <c r="F102" s="23">
        <v>320573.46999999997</v>
      </c>
      <c r="G102" s="23">
        <v>38609.280000000006</v>
      </c>
      <c r="H102" s="23">
        <v>43660</v>
      </c>
      <c r="I102" s="23">
        <v>0</v>
      </c>
      <c r="J102" s="24">
        <f t="shared" si="13"/>
        <v>402842.75</v>
      </c>
      <c r="K102" s="23">
        <v>3691.78</v>
      </c>
      <c r="L102" s="25">
        <f t="shared" si="10"/>
        <v>9.0810982279906204E-3</v>
      </c>
      <c r="M102" s="24">
        <f t="shared" si="11"/>
        <v>406534.53</v>
      </c>
      <c r="N102" s="68">
        <f t="shared" si="6"/>
        <v>0.41416836691619668</v>
      </c>
      <c r="O102" s="23">
        <v>1054.52</v>
      </c>
      <c r="P102" s="66">
        <v>304</v>
      </c>
      <c r="Q102" s="62">
        <v>0.28839999999999999</v>
      </c>
      <c r="R102" s="48"/>
      <c r="S102" s="48"/>
      <c r="X102" s="5"/>
    </row>
    <row r="103" spans="1:24" x14ac:dyDescent="0.25">
      <c r="A103" s="56">
        <f t="shared" si="8"/>
        <v>45809</v>
      </c>
      <c r="B103" s="65">
        <v>45809</v>
      </c>
      <c r="C103" s="67">
        <v>2025</v>
      </c>
      <c r="D103" s="22">
        <v>6</v>
      </c>
      <c r="E103" s="22" t="s">
        <v>23</v>
      </c>
      <c r="F103" s="23">
        <v>320263.69</v>
      </c>
      <c r="G103" s="23">
        <v>37081</v>
      </c>
      <c r="H103" s="23">
        <v>30455</v>
      </c>
      <c r="I103" s="23">
        <v>0</v>
      </c>
      <c r="J103" s="24">
        <f t="shared" si="13"/>
        <v>387799.69</v>
      </c>
      <c r="K103" s="23">
        <v>3598.5</v>
      </c>
      <c r="L103" s="25">
        <f t="shared" si="10"/>
        <v>9.1939617809678673E-3</v>
      </c>
      <c r="M103" s="24">
        <f t="shared" si="11"/>
        <v>391398.19</v>
      </c>
      <c r="N103" s="49">
        <f t="shared" si="6"/>
        <v>0.1187752652794495</v>
      </c>
      <c r="O103" s="23">
        <v>1060.48</v>
      </c>
      <c r="P103" s="66">
        <v>302</v>
      </c>
      <c r="Q103" s="62">
        <v>0.29609999999999997</v>
      </c>
      <c r="R103" s="48"/>
      <c r="S103" s="48"/>
      <c r="T103" s="50" t="s">
        <v>14</v>
      </c>
      <c r="U103" s="45">
        <f>C98</f>
        <v>2025</v>
      </c>
      <c r="W103" s="3" t="s">
        <v>30</v>
      </c>
      <c r="X103" s="5"/>
    </row>
    <row r="104" spans="1:24" x14ac:dyDescent="0.25">
      <c r="A104" s="56">
        <f t="shared" si="8"/>
        <v>45839</v>
      </c>
      <c r="B104" s="65">
        <v>45839</v>
      </c>
      <c r="C104" s="67">
        <v>2025</v>
      </c>
      <c r="D104" s="22">
        <v>7</v>
      </c>
      <c r="E104" s="22" t="s">
        <v>24</v>
      </c>
      <c r="F104" s="23">
        <v>429826.19</v>
      </c>
      <c r="G104" s="23">
        <v>57227.649999999994</v>
      </c>
      <c r="H104" s="23">
        <v>49100</v>
      </c>
      <c r="I104" s="23">
        <v>0</v>
      </c>
      <c r="J104" s="24">
        <f t="shared" si="13"/>
        <v>536153.84</v>
      </c>
      <c r="K104" s="23">
        <v>5589.16</v>
      </c>
      <c r="L104" s="25">
        <f t="shared" si="10"/>
        <v>1.0316995328043001E-2</v>
      </c>
      <c r="M104" s="24">
        <f t="shared" si="11"/>
        <v>541743</v>
      </c>
      <c r="N104" s="49">
        <f t="shared" si="6"/>
        <v>0.52188380607620832</v>
      </c>
      <c r="O104" s="23">
        <v>1275.45</v>
      </c>
      <c r="P104" s="66">
        <v>337</v>
      </c>
      <c r="Q104" s="62">
        <v>0.31969999999999998</v>
      </c>
      <c r="R104" s="48"/>
      <c r="S104" s="48"/>
      <c r="T104" s="51">
        <f>AVERAGEIF(O98:O109,"&gt;1")</f>
        <v>1238.175</v>
      </c>
      <c r="U104" s="72">
        <f>(T104-T92)/T92</f>
        <v>8.3722823232853461E-2</v>
      </c>
      <c r="W104" s="44">
        <f>AVERAGEIF(Q98:Q109,"&gt;1%")</f>
        <v>0.41056666666666675</v>
      </c>
      <c r="X104" s="5"/>
    </row>
    <row r="105" spans="1:24" x14ac:dyDescent="0.25">
      <c r="A105" s="56">
        <f t="shared" si="8"/>
        <v>45870</v>
      </c>
      <c r="B105" s="65">
        <v>45870</v>
      </c>
      <c r="C105" s="67">
        <v>2025</v>
      </c>
      <c r="D105" s="22">
        <v>8</v>
      </c>
      <c r="E105" s="22" t="s">
        <v>25</v>
      </c>
      <c r="F105" s="23">
        <v>391705.47</v>
      </c>
      <c r="G105" s="23">
        <v>48216.9</v>
      </c>
      <c r="H105" s="23">
        <v>51758.3</v>
      </c>
      <c r="I105" s="23">
        <v>0</v>
      </c>
      <c r="J105" s="24">
        <f t="shared" si="13"/>
        <v>491680.67</v>
      </c>
      <c r="K105" s="23">
        <v>4918.49</v>
      </c>
      <c r="L105" s="25">
        <f t="shared" si="10"/>
        <v>9.9043461934168395E-3</v>
      </c>
      <c r="M105" s="24">
        <f t="shared" si="11"/>
        <v>496599.16</v>
      </c>
      <c r="N105" s="49">
        <f t="shared" si="6"/>
        <v>0.13032148505101784</v>
      </c>
      <c r="O105" s="23">
        <v>1128.83</v>
      </c>
      <c r="P105" s="66">
        <v>351</v>
      </c>
      <c r="Q105" s="62">
        <v>0.33300000000000002</v>
      </c>
      <c r="R105" s="48"/>
      <c r="S105" s="48"/>
      <c r="X105" s="5"/>
    </row>
    <row r="106" spans="1:24" x14ac:dyDescent="0.25">
      <c r="A106" s="56">
        <f t="shared" si="8"/>
        <v>45901</v>
      </c>
      <c r="B106" s="65">
        <v>45901</v>
      </c>
      <c r="C106" s="67">
        <v>2025</v>
      </c>
      <c r="D106" s="22">
        <v>9</v>
      </c>
      <c r="E106" s="22" t="s">
        <v>26</v>
      </c>
      <c r="F106" s="23">
        <v>346262.35</v>
      </c>
      <c r="G106" s="23">
        <v>42543.210000000021</v>
      </c>
      <c r="H106" s="23">
        <v>40865</v>
      </c>
      <c r="I106" s="23">
        <v>0</v>
      </c>
      <c r="J106" s="24">
        <f t="shared" si="13"/>
        <v>429670.56</v>
      </c>
      <c r="K106" s="23">
        <v>4101.5</v>
      </c>
      <c r="L106" s="25">
        <f t="shared" si="10"/>
        <v>9.4554268894128397E-3</v>
      </c>
      <c r="M106" s="24">
        <f t="shared" si="11"/>
        <v>433772.06</v>
      </c>
      <c r="N106" s="49">
        <f t="shared" si="6"/>
        <v>-0.14275960098956195</v>
      </c>
      <c r="O106" s="23">
        <v>1146.56</v>
      </c>
      <c r="P106" s="66">
        <v>302</v>
      </c>
      <c r="Q106" s="62">
        <v>0.29609999999999997</v>
      </c>
      <c r="R106" s="48"/>
      <c r="S106" s="48"/>
      <c r="X106" s="5"/>
    </row>
    <row r="107" spans="1:24" x14ac:dyDescent="0.25">
      <c r="A107" s="56">
        <f t="shared" si="8"/>
        <v>45931</v>
      </c>
      <c r="B107" s="65">
        <v>45931</v>
      </c>
      <c r="C107" s="67">
        <v>2025</v>
      </c>
      <c r="D107" s="22">
        <v>10</v>
      </c>
      <c r="E107" s="22" t="s">
        <v>27</v>
      </c>
      <c r="F107" s="23">
        <v>461671.8</v>
      </c>
      <c r="G107" s="23">
        <v>62700.200000000004</v>
      </c>
      <c r="H107" s="23">
        <v>51853</v>
      </c>
      <c r="I107" s="23">
        <v>0</v>
      </c>
      <c r="J107" s="24">
        <f t="shared" si="13"/>
        <v>576225</v>
      </c>
      <c r="K107" s="23">
        <v>6084.38</v>
      </c>
      <c r="L107" s="25">
        <f t="shared" si="10"/>
        <v>1.0448706836905151E-2</v>
      </c>
      <c r="M107" s="24">
        <f t="shared" si="11"/>
        <v>582309.38</v>
      </c>
      <c r="N107" s="49">
        <f t="shared" si="6"/>
        <v>-5.4992650791523788E-2</v>
      </c>
      <c r="O107" s="23">
        <v>1126.03</v>
      </c>
      <c r="P107" s="66">
        <v>409</v>
      </c>
      <c r="Q107" s="62">
        <v>0.38800000000000001</v>
      </c>
      <c r="R107" s="48"/>
      <c r="S107" s="48"/>
      <c r="X107" s="5"/>
    </row>
    <row r="108" spans="1:24" x14ac:dyDescent="0.25">
      <c r="A108" s="56">
        <f t="shared" si="8"/>
        <v>45962</v>
      </c>
      <c r="B108" s="65">
        <v>45962</v>
      </c>
      <c r="C108" s="67">
        <v>2025</v>
      </c>
      <c r="D108" s="22">
        <v>11</v>
      </c>
      <c r="E108" s="22" t="s">
        <v>28</v>
      </c>
      <c r="F108" s="23">
        <v>446151.98</v>
      </c>
      <c r="G108" s="23">
        <v>64347.010000000009</v>
      </c>
      <c r="H108" s="23">
        <v>46750</v>
      </c>
      <c r="I108" s="23">
        <v>0</v>
      </c>
      <c r="J108" s="24">
        <f t="shared" si="13"/>
        <v>557248.99</v>
      </c>
      <c r="K108" s="23">
        <v>6215.5</v>
      </c>
      <c r="L108" s="25">
        <f t="shared" si="10"/>
        <v>1.1030863719557554E-2</v>
      </c>
      <c r="M108" s="24">
        <f t="shared" si="11"/>
        <v>563464.49</v>
      </c>
      <c r="N108" s="49">
        <f t="shared" si="6"/>
        <v>-0.30173165723994566</v>
      </c>
      <c r="O108" s="23">
        <v>1235.8800000000001</v>
      </c>
      <c r="P108" s="66">
        <v>363</v>
      </c>
      <c r="Q108" s="62">
        <v>0.35589999999999999</v>
      </c>
      <c r="R108" s="48"/>
      <c r="S108" s="48"/>
      <c r="X108" s="5"/>
    </row>
    <row r="109" spans="1:24" x14ac:dyDescent="0.25">
      <c r="A109" s="57">
        <f t="shared" si="8"/>
        <v>45992</v>
      </c>
      <c r="B109" s="69">
        <v>45992</v>
      </c>
      <c r="C109" s="70">
        <v>2025</v>
      </c>
      <c r="D109" s="34">
        <v>12</v>
      </c>
      <c r="E109" s="34" t="s">
        <v>29</v>
      </c>
      <c r="F109" s="63">
        <v>885213.87</v>
      </c>
      <c r="G109" s="63">
        <v>131636.27999999991</v>
      </c>
      <c r="H109" s="63">
        <v>86835</v>
      </c>
      <c r="I109" s="63">
        <v>0</v>
      </c>
      <c r="J109" s="36">
        <f t="shared" si="13"/>
        <v>1103685.1499999999</v>
      </c>
      <c r="K109" s="63">
        <v>10783.15</v>
      </c>
      <c r="L109" s="37">
        <f t="shared" si="10"/>
        <v>9.6756004634676474E-3</v>
      </c>
      <c r="M109" s="36">
        <f t="shared" si="11"/>
        <v>1114468.2999999998</v>
      </c>
      <c r="N109" s="61">
        <f t="shared" si="6"/>
        <v>0.13985363842527759</v>
      </c>
      <c r="O109" s="63">
        <v>1679.72</v>
      </c>
      <c r="P109" s="71">
        <v>522</v>
      </c>
      <c r="Q109" s="64">
        <v>0.49530000000000002</v>
      </c>
      <c r="R109" s="52"/>
      <c r="S109" s="53"/>
      <c r="T109" s="43">
        <f>SUM(M98:M109)</f>
        <v>8055156.1400000006</v>
      </c>
      <c r="U109" s="44">
        <f>(T109-T97)/T97</f>
        <v>0.13510800123444938</v>
      </c>
      <c r="V109" s="45">
        <f>V97+1</f>
        <v>2025</v>
      </c>
      <c r="W109" s="54"/>
      <c r="X109" s="55"/>
    </row>
    <row r="110" spans="1:24" x14ac:dyDescent="0.25">
      <c r="A110" s="56">
        <f t="shared" si="8"/>
        <v>46023</v>
      </c>
      <c r="B110" s="21">
        <v>46023</v>
      </c>
      <c r="C110" s="22">
        <v>2026</v>
      </c>
      <c r="D110" s="22">
        <v>1</v>
      </c>
      <c r="E110" s="22" t="s">
        <v>18</v>
      </c>
      <c r="F110" s="23">
        <v>1319785.26</v>
      </c>
      <c r="G110" s="23">
        <v>114152.5</v>
      </c>
      <c r="H110" s="23">
        <v>61410</v>
      </c>
      <c r="I110" s="23">
        <v>0</v>
      </c>
      <c r="J110" s="24">
        <f>SUM(F110:I110)</f>
        <v>1495347.76</v>
      </c>
      <c r="K110" s="23">
        <v>11082.9</v>
      </c>
      <c r="L110" s="25">
        <f t="shared" si="10"/>
        <v>7.3570595011654902E-3</v>
      </c>
      <c r="M110" s="24">
        <f t="shared" si="11"/>
        <v>1506430.66</v>
      </c>
      <c r="N110" s="49">
        <f t="shared" si="6"/>
        <v>3.0622902262595456E-2</v>
      </c>
      <c r="O110" s="23">
        <v>1522.24</v>
      </c>
      <c r="P110" s="66">
        <v>866</v>
      </c>
      <c r="Q110" s="62">
        <v>0.8216</v>
      </c>
      <c r="R110" s="48"/>
      <c r="S110" s="48"/>
      <c r="X110" s="5"/>
    </row>
    <row r="111" spans="1:24" x14ac:dyDescent="0.25">
      <c r="A111" s="56">
        <f t="shared" si="8"/>
        <v>46054</v>
      </c>
      <c r="B111" s="65">
        <v>46054</v>
      </c>
      <c r="C111" s="67">
        <v>2026</v>
      </c>
      <c r="D111" s="22">
        <v>2</v>
      </c>
      <c r="E111" s="22" t="s">
        <v>19</v>
      </c>
      <c r="F111" s="23">
        <v>887794.33</v>
      </c>
      <c r="G111" s="23">
        <v>118062</v>
      </c>
      <c r="H111" s="23">
        <v>54500</v>
      </c>
      <c r="I111" s="23">
        <v>0</v>
      </c>
      <c r="J111" s="24">
        <f t="shared" ref="J111:J121" si="14">SUM(F111:I111)</f>
        <v>1060356.33</v>
      </c>
      <c r="K111" s="23">
        <v>11670.3</v>
      </c>
      <c r="L111" s="25">
        <f t="shared" si="10"/>
        <v>1.0886203451867606E-2</v>
      </c>
      <c r="M111" s="24">
        <f t="shared" si="11"/>
        <v>1072026.6300000001</v>
      </c>
      <c r="N111" s="49">
        <f t="shared" si="6"/>
        <v>0.80316626448535622</v>
      </c>
      <c r="O111" s="23">
        <v>1282.92</v>
      </c>
      <c r="P111" s="66">
        <v>690</v>
      </c>
      <c r="Q111" s="62">
        <v>0.7248</v>
      </c>
      <c r="R111" s="48"/>
      <c r="S111" s="48"/>
      <c r="X111" s="5"/>
    </row>
    <row r="112" spans="1:24" x14ac:dyDescent="0.25">
      <c r="A112" s="56">
        <f t="shared" si="8"/>
        <v>46082</v>
      </c>
      <c r="B112" s="65">
        <v>46082</v>
      </c>
      <c r="C112" s="67">
        <v>2026</v>
      </c>
      <c r="D112" s="22">
        <v>3</v>
      </c>
      <c r="E112" s="22" t="s">
        <v>20</v>
      </c>
      <c r="F112" s="23">
        <v>522524.66</v>
      </c>
      <c r="G112" s="23">
        <v>62979.340000000004</v>
      </c>
      <c r="H112" s="23">
        <v>42180</v>
      </c>
      <c r="I112" s="23">
        <v>0</v>
      </c>
      <c r="J112" s="24">
        <f t="shared" si="14"/>
        <v>627684</v>
      </c>
      <c r="K112" s="23">
        <v>5725.44</v>
      </c>
      <c r="L112" s="25">
        <f t="shared" si="10"/>
        <v>9.039082208815833E-3</v>
      </c>
      <c r="M112" s="24">
        <f t="shared" si="11"/>
        <v>633409.43999999994</v>
      </c>
      <c r="N112" s="25">
        <f t="shared" si="6"/>
        <v>-0.29376221821097631</v>
      </c>
      <c r="O112" s="23">
        <v>1108.07</v>
      </c>
      <c r="P112" s="66">
        <v>470</v>
      </c>
      <c r="Q112" s="62">
        <v>0.44590000000000002</v>
      </c>
      <c r="R112" s="48"/>
      <c r="S112" s="48"/>
      <c r="X112" s="5"/>
    </row>
    <row r="113" spans="1:24" x14ac:dyDescent="0.25">
      <c r="A113" s="56">
        <f t="shared" si="8"/>
        <v>46113</v>
      </c>
      <c r="B113" s="65">
        <v>46113</v>
      </c>
      <c r="C113" s="67">
        <v>2026</v>
      </c>
      <c r="D113" s="22">
        <v>4</v>
      </c>
      <c r="E113" s="22" t="s">
        <v>21</v>
      </c>
      <c r="F113" s="23">
        <v>351053.77</v>
      </c>
      <c r="G113" s="23">
        <v>43466</v>
      </c>
      <c r="H113" s="23">
        <v>42552</v>
      </c>
      <c r="I113" s="23">
        <v>0</v>
      </c>
      <c r="J113" s="24">
        <f t="shared" si="14"/>
        <v>437071.77</v>
      </c>
      <c r="K113" s="23">
        <v>4346.6000000000004</v>
      </c>
      <c r="L113" s="25">
        <f t="shared" si="10"/>
        <v>9.8468942287109635E-3</v>
      </c>
      <c r="M113" s="24">
        <f t="shared" si="11"/>
        <v>441418.37</v>
      </c>
      <c r="N113" s="68">
        <f t="shared" si="6"/>
        <v>-0.22801147161490598</v>
      </c>
      <c r="O113" s="23">
        <v>1227.46</v>
      </c>
      <c r="P113" s="66">
        <v>286</v>
      </c>
      <c r="Q113" s="62">
        <v>0.28039999999999998</v>
      </c>
      <c r="R113" s="48"/>
      <c r="S113" s="48"/>
      <c r="X113" s="5"/>
    </row>
    <row r="114" spans="1:24" x14ac:dyDescent="0.25">
      <c r="A114" s="56">
        <f t="shared" si="8"/>
        <v>46143</v>
      </c>
      <c r="B114" s="65">
        <v>46143</v>
      </c>
      <c r="C114" s="67">
        <v>2026</v>
      </c>
      <c r="D114" s="22">
        <v>5</v>
      </c>
      <c r="E114" s="22" t="s">
        <v>22</v>
      </c>
      <c r="F114" s="23">
        <v>202552.53</v>
      </c>
      <c r="G114" s="23">
        <v>23299.85</v>
      </c>
      <c r="H114" s="23">
        <v>35551.699999999997</v>
      </c>
      <c r="I114" s="23">
        <v>0</v>
      </c>
      <c r="J114" s="24">
        <f t="shared" si="14"/>
        <v>261404.08000000002</v>
      </c>
      <c r="K114" s="23">
        <v>2318.4899999999998</v>
      </c>
      <c r="L114" s="25">
        <f t="shared" si="10"/>
        <v>8.7913977176849126E-3</v>
      </c>
      <c r="M114" s="24">
        <f t="shared" si="11"/>
        <v>263722.57</v>
      </c>
      <c r="N114" s="68">
        <f t="shared" si="6"/>
        <v>-0.35129109451047125</v>
      </c>
      <c r="O114" s="23">
        <v>1079.48</v>
      </c>
      <c r="P114" s="66">
        <v>181</v>
      </c>
      <c r="Q114" s="62">
        <v>0.17169999999999999</v>
      </c>
      <c r="R114" s="48"/>
      <c r="S114" s="48"/>
      <c r="X114" s="5"/>
    </row>
    <row r="115" spans="1:24" x14ac:dyDescent="0.25">
      <c r="A115" s="56">
        <f t="shared" si="8"/>
        <v>46174</v>
      </c>
      <c r="B115" s="65">
        <v>46174</v>
      </c>
      <c r="C115" s="67">
        <v>2026</v>
      </c>
      <c r="D115" s="22">
        <v>6</v>
      </c>
      <c r="E115" s="22" t="s">
        <v>23</v>
      </c>
      <c r="F115" s="23">
        <v>256921.66</v>
      </c>
      <c r="G115" s="23">
        <v>32169.96</v>
      </c>
      <c r="H115" s="23">
        <v>16380</v>
      </c>
      <c r="I115" s="23">
        <v>0</v>
      </c>
      <c r="J115" s="24">
        <f t="shared" si="14"/>
        <v>305471.62</v>
      </c>
      <c r="K115" s="23">
        <v>3070</v>
      </c>
      <c r="L115" s="25">
        <f t="shared" si="10"/>
        <v>9.9500352659067526E-3</v>
      </c>
      <c r="M115" s="24">
        <f t="shared" si="11"/>
        <v>308541.62</v>
      </c>
      <c r="N115" s="68">
        <f t="shared" si="6"/>
        <v>-0.21169379960597162</v>
      </c>
      <c r="O115" s="23">
        <v>1052.96</v>
      </c>
      <c r="P115" s="66">
        <v>242</v>
      </c>
      <c r="Q115" s="62">
        <v>0.23730000000000001</v>
      </c>
      <c r="R115" s="48"/>
      <c r="S115" s="48"/>
      <c r="T115" s="50" t="s">
        <v>14</v>
      </c>
      <c r="U115" s="45">
        <f>C110</f>
        <v>2026</v>
      </c>
      <c r="W115" s="3" t="s">
        <v>30</v>
      </c>
      <c r="X115" s="5"/>
    </row>
    <row r="116" spans="1:24" x14ac:dyDescent="0.25">
      <c r="A116" s="56">
        <f t="shared" si="8"/>
        <v>46204</v>
      </c>
      <c r="B116" s="65">
        <v>46204</v>
      </c>
      <c r="C116" s="67">
        <v>2026</v>
      </c>
      <c r="D116" s="22">
        <v>7</v>
      </c>
      <c r="E116" s="22" t="s">
        <v>24</v>
      </c>
      <c r="F116" s="23">
        <v>530465.11</v>
      </c>
      <c r="G116" s="23">
        <v>76662.2</v>
      </c>
      <c r="H116" s="23">
        <v>33325</v>
      </c>
      <c r="I116" s="23">
        <v>0</v>
      </c>
      <c r="J116" s="24">
        <f t="shared" si="14"/>
        <v>640452.30999999994</v>
      </c>
      <c r="K116" s="23">
        <v>7728.72</v>
      </c>
      <c r="L116" s="25">
        <f t="shared" si="10"/>
        <v>1.1923705943692924E-2</v>
      </c>
      <c r="M116" s="24">
        <f t="shared" si="11"/>
        <v>648181.02999999991</v>
      </c>
      <c r="N116" s="49">
        <f t="shared" si="6"/>
        <v>0.19647329084085979</v>
      </c>
      <c r="O116" s="23">
        <v>1116.27</v>
      </c>
      <c r="P116" s="66">
        <v>473</v>
      </c>
      <c r="Q116" s="62">
        <v>0.44879999999999998</v>
      </c>
      <c r="R116" s="48"/>
      <c r="S116" s="48"/>
      <c r="T116" s="51">
        <f>AVERAGEIF(O110:O121,"&gt;1")</f>
        <v>1169.7666666666667</v>
      </c>
      <c r="U116" s="72">
        <f>(T116-T104)/T104</f>
        <v>-5.5249325283851881E-2</v>
      </c>
      <c r="W116" s="44">
        <f>AVERAGEIF(Q110:Q121,"&gt;1%")</f>
        <v>0.47296666666666659</v>
      </c>
      <c r="X116" s="5"/>
    </row>
    <row r="117" spans="1:24" x14ac:dyDescent="0.25">
      <c r="A117" s="56">
        <f t="shared" si="8"/>
        <v>46235</v>
      </c>
      <c r="B117" s="65">
        <v>46235</v>
      </c>
      <c r="C117" s="67">
        <v>2026</v>
      </c>
      <c r="D117" s="22">
        <v>8</v>
      </c>
      <c r="E117" s="22" t="s">
        <v>25</v>
      </c>
      <c r="F117" s="23">
        <v>566507.80000000005</v>
      </c>
      <c r="G117" s="23">
        <v>82005.069999999949</v>
      </c>
      <c r="H117" s="23">
        <v>53240</v>
      </c>
      <c r="I117" s="23">
        <v>0</v>
      </c>
      <c r="J117" s="24">
        <f t="shared" si="14"/>
        <v>701752.87</v>
      </c>
      <c r="K117" s="23">
        <v>8000.88</v>
      </c>
      <c r="L117" s="25">
        <f t="shared" si="10"/>
        <v>1.1272754811087648E-2</v>
      </c>
      <c r="M117" s="24">
        <f t="shared" si="11"/>
        <v>709753.75</v>
      </c>
      <c r="N117" s="49">
        <f t="shared" si="6"/>
        <v>0.42922865596470205</v>
      </c>
      <c r="O117" s="23">
        <v>1052.99</v>
      </c>
      <c r="P117" s="66">
        <v>534</v>
      </c>
      <c r="Q117" s="62">
        <v>0.50660000000000005</v>
      </c>
      <c r="R117" s="48"/>
      <c r="S117" s="48"/>
      <c r="X117" s="5"/>
    </row>
    <row r="118" spans="1:24" x14ac:dyDescent="0.25">
      <c r="A118" s="56">
        <f t="shared" si="8"/>
        <v>46266</v>
      </c>
      <c r="B118" s="65">
        <v>46266</v>
      </c>
      <c r="C118" s="67">
        <v>2026</v>
      </c>
      <c r="D118" s="22">
        <v>9</v>
      </c>
      <c r="E118" s="22" t="s">
        <v>26</v>
      </c>
      <c r="F118" s="23">
        <v>689581.59000000008</v>
      </c>
      <c r="G118" s="23">
        <v>72296</v>
      </c>
      <c r="H118" s="23">
        <v>52365</v>
      </c>
      <c r="I118" s="23">
        <v>0</v>
      </c>
      <c r="J118" s="24">
        <f t="shared" si="14"/>
        <v>814242.59000000008</v>
      </c>
      <c r="K118" s="23">
        <v>7177.7000000000007</v>
      </c>
      <c r="L118" s="25">
        <f t="shared" si="10"/>
        <v>8.7381576610434109E-3</v>
      </c>
      <c r="M118" s="24">
        <f t="shared" si="11"/>
        <v>821420.29</v>
      </c>
      <c r="N118" s="49">
        <f t="shared" si="6"/>
        <v>0.89366804768384589</v>
      </c>
      <c r="O118" s="23">
        <v>1085.51</v>
      </c>
      <c r="P118" s="66">
        <v>632</v>
      </c>
      <c r="Q118" s="62">
        <v>0.61960000000000004</v>
      </c>
      <c r="R118" s="48"/>
      <c r="S118" s="48"/>
      <c r="X118" s="5"/>
    </row>
    <row r="119" spans="1:24" x14ac:dyDescent="0.25">
      <c r="A119" s="56">
        <f t="shared" si="8"/>
        <v>46296</v>
      </c>
      <c r="B119" s="65">
        <v>46296</v>
      </c>
      <c r="C119" s="67">
        <v>2026</v>
      </c>
      <c r="D119" s="22">
        <v>10</v>
      </c>
      <c r="E119" s="22" t="s">
        <v>27</v>
      </c>
      <c r="F119" s="23"/>
      <c r="G119" s="23"/>
      <c r="H119" s="23"/>
      <c r="I119" s="23"/>
      <c r="J119" s="24">
        <f t="shared" si="14"/>
        <v>0</v>
      </c>
      <c r="K119" s="23"/>
      <c r="L119" s="25" t="str">
        <f t="shared" si="10"/>
        <v/>
      </c>
      <c r="M119" s="24">
        <f t="shared" si="11"/>
        <v>0</v>
      </c>
      <c r="N119" s="49">
        <f t="shared" si="6"/>
        <v>0</v>
      </c>
      <c r="O119" s="23"/>
      <c r="P119" s="66"/>
      <c r="Q119" s="62"/>
      <c r="R119" s="48"/>
      <c r="S119" s="48"/>
      <c r="X119" s="5"/>
    </row>
    <row r="120" spans="1:24" x14ac:dyDescent="0.25">
      <c r="A120" s="56">
        <f t="shared" si="8"/>
        <v>46327</v>
      </c>
      <c r="B120" s="65">
        <v>46327</v>
      </c>
      <c r="C120" s="67">
        <v>2026</v>
      </c>
      <c r="D120" s="22">
        <v>11</v>
      </c>
      <c r="E120" s="22" t="s">
        <v>28</v>
      </c>
      <c r="F120" s="23"/>
      <c r="G120" s="23"/>
      <c r="H120" s="23"/>
      <c r="I120" s="23"/>
      <c r="J120" s="24">
        <f t="shared" si="14"/>
        <v>0</v>
      </c>
      <c r="K120" s="23"/>
      <c r="L120" s="25" t="str">
        <f t="shared" si="10"/>
        <v/>
      </c>
      <c r="M120" s="24">
        <f t="shared" si="11"/>
        <v>0</v>
      </c>
      <c r="N120" s="49">
        <f t="shared" si="6"/>
        <v>0</v>
      </c>
      <c r="O120" s="23"/>
      <c r="P120" s="66"/>
      <c r="Q120" s="62"/>
      <c r="R120" s="48"/>
      <c r="S120" s="48"/>
      <c r="X120" s="5"/>
    </row>
    <row r="121" spans="1:24" x14ac:dyDescent="0.25">
      <c r="A121" s="57">
        <f t="shared" si="8"/>
        <v>46357</v>
      </c>
      <c r="B121" s="69">
        <v>46357</v>
      </c>
      <c r="C121" s="70">
        <v>2026</v>
      </c>
      <c r="D121" s="34">
        <v>12</v>
      </c>
      <c r="E121" s="34" t="s">
        <v>29</v>
      </c>
      <c r="F121" s="63"/>
      <c r="G121" s="63"/>
      <c r="H121" s="63"/>
      <c r="I121" s="63"/>
      <c r="J121" s="36">
        <f t="shared" si="14"/>
        <v>0</v>
      </c>
      <c r="K121" s="63"/>
      <c r="L121" s="37" t="str">
        <f t="shared" si="10"/>
        <v/>
      </c>
      <c r="M121" s="36">
        <f t="shared" si="11"/>
        <v>0</v>
      </c>
      <c r="N121" s="61">
        <f t="shared" ref="N121" si="15">IF(M121=0,0,(M121-M109)/M109)</f>
        <v>0</v>
      </c>
      <c r="O121" s="63"/>
      <c r="P121" s="71"/>
      <c r="Q121" s="64"/>
      <c r="R121" s="52"/>
      <c r="S121" s="53"/>
      <c r="T121" s="43">
        <f>SUM(M110:M121)</f>
        <v>6404904.3600000003</v>
      </c>
      <c r="U121" s="60">
        <f>(T121-T109)/T109</f>
        <v>-0.20486899959707053</v>
      </c>
      <c r="V121" s="45">
        <f>V109+1</f>
        <v>2026</v>
      </c>
      <c r="W121" s="54"/>
      <c r="X121" s="55"/>
    </row>
  </sheetData>
  <conditionalFormatting sqref="N1:N1048576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DATABASE TOT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</dc:creator>
  <cp:lastModifiedBy>Edoardo</cp:lastModifiedBy>
  <dcterms:created xsi:type="dcterms:W3CDTF">2026-05-23T08:29:15Z</dcterms:created>
  <dcterms:modified xsi:type="dcterms:W3CDTF">2026-10-06T10:11:53Z</dcterms:modified>
</cp:coreProperties>
</file>